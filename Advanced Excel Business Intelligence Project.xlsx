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udy material Bitsom\"/>
    </mc:Choice>
  </mc:AlternateContent>
  <bookViews>
    <workbookView xWindow="0" yWindow="0" windowWidth="23040" windowHeight="9264"/>
  </bookViews>
  <sheets>
    <sheet name="Discriptive" sheetId="1" r:id="rId1"/>
    <sheet name="OneSample" sheetId="6" r:id="rId2"/>
    <sheet name="TwoSample" sheetId="8" r:id="rId3"/>
    <sheet name="Regression" sheetId="12" r:id="rId4"/>
  </sheets>
  <definedNames>
    <definedName name="_xlnm._FilterDatabase" localSheetId="2" hidden="1">TwoSample!$A$1:$C$401</definedName>
  </definedNames>
  <calcPr calcId="152511"/>
</workbook>
</file>

<file path=xl/calcChain.xml><?xml version="1.0" encoding="utf-8"?>
<calcChain xmlns="http://schemas.openxmlformats.org/spreadsheetml/2006/main">
  <c r="Q12" i="8" l="1"/>
  <c r="Q13" i="8"/>
  <c r="Q17" i="8"/>
  <c r="Q18" i="8"/>
  <c r="K13" i="6" l="1"/>
  <c r="K16" i="6"/>
  <c r="K15" i="6"/>
  <c r="K14" i="6"/>
  <c r="L32" i="1"/>
  <c r="L31" i="1"/>
  <c r="L30" i="1"/>
  <c r="K20" i="1"/>
  <c r="K18" i="1"/>
  <c r="K17" i="1"/>
  <c r="K16" i="1"/>
  <c r="K15" i="1"/>
  <c r="K14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<sst xmlns="http://schemas.openxmlformats.org/spreadsheetml/2006/main" count="1822" uniqueCount="582">
  <si>
    <t>date</t>
  </si>
  <si>
    <t>avg_session_duration</t>
  </si>
  <si>
    <t>weekly_active_users</t>
  </si>
  <si>
    <t>daily_revenue</t>
  </si>
  <si>
    <t>Value</t>
  </si>
  <si>
    <t>Mean</t>
  </si>
  <si>
    <t>Median</t>
  </si>
  <si>
    <t>Total</t>
  </si>
  <si>
    <t>Std</t>
  </si>
  <si>
    <t>Min. Value</t>
  </si>
  <si>
    <t>"=STDEV.S(B2:B271)"</t>
  </si>
  <si>
    <t>"=MIN(B2:B271)"</t>
  </si>
  <si>
    <t>"=MAX(B2:B271)"</t>
  </si>
  <si>
    <t>Max. Value</t>
  </si>
  <si>
    <t>"=AVERAGE(B2:B271)"</t>
  </si>
  <si>
    <t>"=MEDIAN(B2:B271)"</t>
  </si>
  <si>
    <t>Formula Used</t>
  </si>
  <si>
    <t>Frequency</t>
  </si>
  <si>
    <t>20 to &lt;25</t>
  </si>
  <si>
    <t>25 to &lt;30</t>
  </si>
  <si>
    <t>30 to &lt;35</t>
  </si>
  <si>
    <t>35 to &lt;40</t>
  </si>
  <si>
    <t>40 to &lt;45</t>
  </si>
  <si>
    <t>Bin Range</t>
  </si>
  <si>
    <t>45 to  50</t>
  </si>
  <si>
    <t>"=COUNTIFS(B:B,"&gt;=20",B:B,"&lt;25")"</t>
  </si>
  <si>
    <t>"=COUNTIFS(B:B,"&gt;=25",B:B,"&lt;30")"</t>
  </si>
  <si>
    <t>"=COUNTIFS(B:B,"&gt;=30",B:B,"&lt;35")"</t>
  </si>
  <si>
    <t>"=COUNTIFS(B:B,"&gt;=35",B:B,"&lt;40")"</t>
  </si>
  <si>
    <t>"=COUNTIFS(B:B,"&gt;=40",B:B,"&lt;45")"</t>
  </si>
  <si>
    <t>"=COUNTIFS(B:B,"&gt;=45",B:B,"&lt;=50")"</t>
  </si>
  <si>
    <t xml:space="preserve">Lower Bound </t>
  </si>
  <si>
    <t>Upper Bound</t>
  </si>
  <si>
    <t xml:space="preserve">Mean </t>
  </si>
  <si>
    <t>Final Probability</t>
  </si>
  <si>
    <t>Item</t>
  </si>
  <si>
    <t>Given</t>
  </si>
  <si>
    <t>"=NORM.DIST(I27,I24,I25,TRUE)"</t>
  </si>
  <si>
    <t>"NORM.DIST(I26,I24,I25,TRUE)"</t>
  </si>
  <si>
    <t>"=L30-L31"</t>
  </si>
  <si>
    <r>
      <t xml:space="preserve">P(X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b)</t>
    </r>
  </si>
  <si>
    <r>
      <t xml:space="preserve">P(X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a)</t>
    </r>
  </si>
  <si>
    <t>Label</t>
  </si>
  <si>
    <t>Sample Std Dev (s)</t>
  </si>
  <si>
    <t>Sample Size (n)</t>
  </si>
  <si>
    <t>Significance Level (α)</t>
  </si>
  <si>
    <t>Sample Mean (X)</t>
  </si>
  <si>
    <t>Hypothesized Mean (µ)</t>
  </si>
  <si>
    <t>Input Data</t>
  </si>
  <si>
    <t>Standard Error</t>
  </si>
  <si>
    <t>t-statistic</t>
  </si>
  <si>
    <t>Degrees of freedom</t>
  </si>
  <si>
    <t>p-value(Two-Tailed Test)</t>
  </si>
  <si>
    <t>"=8.2/SQRT(180)</t>
  </si>
  <si>
    <t>"=(68.5-70)/(8.2/SQRT(180))"</t>
  </si>
  <si>
    <t>"=180-1"</t>
  </si>
  <si>
    <t>"=T.DIST.2T(ABS(-2.46),179)"</t>
  </si>
  <si>
    <t>A</t>
  </si>
  <si>
    <t>USER_0103</t>
  </si>
  <si>
    <t>B</t>
  </si>
  <si>
    <t>USER_0349</t>
  </si>
  <si>
    <t>USER_0271</t>
  </si>
  <si>
    <t>USER_0107</t>
  </si>
  <si>
    <t>USER_0072</t>
  </si>
  <si>
    <t>USER_0189</t>
  </si>
  <si>
    <t>USER_0021</t>
  </si>
  <si>
    <t>USER_0400</t>
  </si>
  <si>
    <t>USER_0122</t>
  </si>
  <si>
    <t>USER_0215</t>
  </si>
  <si>
    <t>USER_0331</t>
  </si>
  <si>
    <t>USER_0088</t>
  </si>
  <si>
    <t>USER_0373</t>
  </si>
  <si>
    <t>USER_0100</t>
  </si>
  <si>
    <t>USER_0360</t>
  </si>
  <si>
    <t>USER_0152</t>
  </si>
  <si>
    <t>USER_0131</t>
  </si>
  <si>
    <t>USER_0150</t>
  </si>
  <si>
    <t>USER_0309</t>
  </si>
  <si>
    <t>USER_0258</t>
  </si>
  <si>
    <t>USER_0344</t>
  </si>
  <si>
    <t>USER_0294</t>
  </si>
  <si>
    <t>USER_0192</t>
  </si>
  <si>
    <t>USER_0277</t>
  </si>
  <si>
    <t>USER_0161</t>
  </si>
  <si>
    <t>USER_0314</t>
  </si>
  <si>
    <t>USER_0022</t>
  </si>
  <si>
    <t>USER_0253</t>
  </si>
  <si>
    <t>USER_0236</t>
  </si>
  <si>
    <t>USER_0345</t>
  </si>
  <si>
    <t>USER_0049</t>
  </si>
  <si>
    <t>USER_0059</t>
  </si>
  <si>
    <t>USER_0170</t>
  </si>
  <si>
    <t>USER_0188</t>
  </si>
  <si>
    <t>USER_0398</t>
  </si>
  <si>
    <t>USER_0190</t>
  </si>
  <si>
    <t>USER_0175</t>
  </si>
  <si>
    <t>USER_0051</t>
  </si>
  <si>
    <t>USER_0055</t>
  </si>
  <si>
    <t>USER_0244</t>
  </si>
  <si>
    <t>USER_0320</t>
  </si>
  <si>
    <t>USER_0384</t>
  </si>
  <si>
    <t>USER_0307</t>
  </si>
  <si>
    <t>USER_0135</t>
  </si>
  <si>
    <t>USER_0394</t>
  </si>
  <si>
    <t>USER_0329</t>
  </si>
  <si>
    <t>USER_0167</t>
  </si>
  <si>
    <t>USER_0274</t>
  </si>
  <si>
    <t>USER_0089</t>
  </si>
  <si>
    <t>USER_0316</t>
  </si>
  <si>
    <t>USER_0014</t>
  </si>
  <si>
    <t>USER_0242</t>
  </si>
  <si>
    <t>USER_0265</t>
  </si>
  <si>
    <t>USER_0346</t>
  </si>
  <si>
    <t>USER_0053</t>
  </si>
  <si>
    <t>USER_0340</t>
  </si>
  <si>
    <t>USER_0092</t>
  </si>
  <si>
    <t>USER_0264</t>
  </si>
  <si>
    <t>USER_0035</t>
  </si>
  <si>
    <t>USER_0206</t>
  </si>
  <si>
    <t>USER_0081</t>
  </si>
  <si>
    <t>USER_0050</t>
  </si>
  <si>
    <t>USER_0002</t>
  </si>
  <si>
    <t>USER_0054</t>
  </si>
  <si>
    <t>USER_0106</t>
  </si>
  <si>
    <t>USER_0260</t>
  </si>
  <si>
    <t>USER_0310</t>
  </si>
  <si>
    <t>USER_0191</t>
  </si>
  <si>
    <t>USER_0218</t>
  </si>
  <si>
    <t>USER_0044</t>
  </si>
  <si>
    <t>USER_0162</t>
  </si>
  <si>
    <t>USER_0202</t>
  </si>
  <si>
    <t>USER_0270</t>
  </si>
  <si>
    <t>USER_0304</t>
  </si>
  <si>
    <t>USER_0366</t>
  </si>
  <si>
    <t>USER_0391</t>
  </si>
  <si>
    <t>USER_0252</t>
  </si>
  <si>
    <t>USER_0365</t>
  </si>
  <si>
    <t>USER_0296</t>
  </si>
  <si>
    <t>USER_0213</t>
  </si>
  <si>
    <t>USER_0208</t>
  </si>
  <si>
    <t>USER_0237</t>
  </si>
  <si>
    <t>USER_0347</t>
  </si>
  <si>
    <t>USER_0280</t>
  </si>
  <si>
    <t>USER_0217</t>
  </si>
  <si>
    <t>USER_0324</t>
  </si>
  <si>
    <t>USER_0367</t>
  </si>
  <si>
    <t>USER_0041</t>
  </si>
  <si>
    <t>USER_0157</t>
  </si>
  <si>
    <t>USER_0015</t>
  </si>
  <si>
    <t>USER_0301</t>
  </si>
  <si>
    <t>USER_0065</t>
  </si>
  <si>
    <t>USER_0009</t>
  </si>
  <si>
    <t>USER_0129</t>
  </si>
  <si>
    <t>USER_0136</t>
  </si>
  <si>
    <t>USER_0063</t>
  </si>
  <si>
    <t>USER_0139</t>
  </si>
  <si>
    <t>USER_0371</t>
  </si>
  <si>
    <t>USER_0163</t>
  </si>
  <si>
    <t>USER_0289</t>
  </si>
  <si>
    <t>USER_0261</t>
  </si>
  <si>
    <t>USER_0231</t>
  </si>
  <si>
    <t>USER_0313</t>
  </si>
  <si>
    <t>USER_0028</t>
  </si>
  <si>
    <t>USER_0357</t>
  </si>
  <si>
    <t>USER_0201</t>
  </si>
  <si>
    <t>USER_0268</t>
  </si>
  <si>
    <t>USER_0033</t>
  </si>
  <si>
    <t>USER_0048</t>
  </si>
  <si>
    <t>USER_0062</t>
  </si>
  <si>
    <t>USER_0216</t>
  </si>
  <si>
    <t>USER_0099</t>
  </si>
  <si>
    <t>USER_0172</t>
  </si>
  <si>
    <t>USER_0214</t>
  </si>
  <si>
    <t>USER_0342</t>
  </si>
  <si>
    <t>USER_0227</t>
  </si>
  <si>
    <t>USER_0101</t>
  </si>
  <si>
    <t>USER_0359</t>
  </si>
  <si>
    <t>USER_0257</t>
  </si>
  <si>
    <t>USER_0005</t>
  </si>
  <si>
    <t>USER_0332</t>
  </si>
  <si>
    <t>USER_0255</t>
  </si>
  <si>
    <t>USER_0207</t>
  </si>
  <si>
    <t>USER_0311</t>
  </si>
  <si>
    <t>USER_0042</t>
  </si>
  <si>
    <t>USER_0179</t>
  </si>
  <si>
    <t>USER_0305</t>
  </si>
  <si>
    <t>USER_0299</t>
  </si>
  <si>
    <t>USER_0241</t>
  </si>
  <si>
    <t>USER_0052</t>
  </si>
  <si>
    <t>USER_0096</t>
  </si>
  <si>
    <t>USER_0222</t>
  </si>
  <si>
    <t>USER_0273</t>
  </si>
  <si>
    <t>USER_0319</t>
  </si>
  <si>
    <t>USER_0143</t>
  </si>
  <si>
    <t>USER_0171</t>
  </si>
  <si>
    <t>USER_0029</t>
  </si>
  <si>
    <t>USER_0036</t>
  </si>
  <si>
    <t>USER_0013</t>
  </si>
  <si>
    <t>USER_0160</t>
  </si>
  <si>
    <t>USER_0187</t>
  </si>
  <si>
    <t>USER_0243</t>
  </si>
  <si>
    <t>USER_0086</t>
  </si>
  <si>
    <t>USER_0066</t>
  </si>
  <si>
    <t>USER_0368</t>
  </si>
  <si>
    <t>USER_0045</t>
  </si>
  <si>
    <t>USER_0291</t>
  </si>
  <si>
    <t>USER_0185</t>
  </si>
  <si>
    <t>USER_0245</t>
  </si>
  <si>
    <t>USER_0134</t>
  </si>
  <si>
    <t>USER_0297</t>
  </si>
  <si>
    <t>USER_0250</t>
  </si>
  <si>
    <t>USER_0108</t>
  </si>
  <si>
    <t>USER_0390</t>
  </si>
  <si>
    <t>USER_0084</t>
  </si>
  <si>
    <t>USER_0030</t>
  </si>
  <si>
    <t>USER_0323</t>
  </si>
  <si>
    <t>USER_0075</t>
  </si>
  <si>
    <t>USER_0128</t>
  </si>
  <si>
    <t>USER_0380</t>
  </si>
  <si>
    <t>USER_0351</t>
  </si>
  <si>
    <t>USER_0379</t>
  </si>
  <si>
    <t>USER_0361</t>
  </si>
  <si>
    <t>USER_0225</t>
  </si>
  <si>
    <t>USER_0358</t>
  </si>
  <si>
    <t>USER_0121</t>
  </si>
  <si>
    <t>USER_0027</t>
  </si>
  <si>
    <t>USER_0238</t>
  </si>
  <si>
    <t>USER_0235</t>
  </si>
  <si>
    <t>USER_0116</t>
  </si>
  <si>
    <t>USER_0205</t>
  </si>
  <si>
    <t>USER_0003</t>
  </si>
  <si>
    <t>USER_0393</t>
  </si>
  <si>
    <t>USER_0198</t>
  </si>
  <si>
    <t>USER_0200</t>
  </si>
  <si>
    <t>USER_0155</t>
  </si>
  <si>
    <t>USER_0137</t>
  </si>
  <si>
    <t>USER_0254</t>
  </si>
  <si>
    <t>USER_0165</t>
  </si>
  <si>
    <t>USER_0363</t>
  </si>
  <si>
    <t>USER_0288</t>
  </si>
  <si>
    <t>USER_0385</t>
  </si>
  <si>
    <t>USER_0278</t>
  </si>
  <si>
    <t>USER_0369</t>
  </si>
  <si>
    <t>USER_0118</t>
  </si>
  <si>
    <t>USER_0300</t>
  </si>
  <si>
    <t>USER_0328</t>
  </si>
  <si>
    <t>USER_0180</t>
  </si>
  <si>
    <t>USER_0113</t>
  </si>
  <si>
    <t>USER_0223</t>
  </si>
  <si>
    <t>USER_0186</t>
  </si>
  <si>
    <t>USER_0326</t>
  </si>
  <si>
    <t>USER_0012</t>
  </si>
  <si>
    <t>USER_0039</t>
  </si>
  <si>
    <t>USER_0130</t>
  </si>
  <si>
    <t>USER_0283</t>
  </si>
  <si>
    <t>USER_0212</t>
  </si>
  <si>
    <t>USER_0284</t>
  </si>
  <si>
    <t>USER_0204</t>
  </si>
  <si>
    <t>USER_0184</t>
  </si>
  <si>
    <t>USER_0303</t>
  </si>
  <si>
    <t>USER_0335</t>
  </si>
  <si>
    <t>USER_0355</t>
  </si>
  <si>
    <t>USER_0338</t>
  </si>
  <si>
    <t>USER_0341</t>
  </si>
  <si>
    <t>USER_0337</t>
  </si>
  <si>
    <t>USER_0087</t>
  </si>
  <si>
    <t>USER_0372</t>
  </si>
  <si>
    <t>USER_0147</t>
  </si>
  <si>
    <t>USER_0126</t>
  </si>
  <si>
    <t>USER_0196</t>
  </si>
  <si>
    <t>USER_0318</t>
  </si>
  <si>
    <t>USER_0220</t>
  </si>
  <si>
    <t>USER_0325</t>
  </si>
  <si>
    <t>USER_0199</t>
  </si>
  <si>
    <t>USER_0068</t>
  </si>
  <si>
    <t>USER_0183</t>
  </si>
  <si>
    <t>USER_0123</t>
  </si>
  <si>
    <t>USER_0145</t>
  </si>
  <si>
    <t>USER_0038</t>
  </si>
  <si>
    <t>USER_0024</t>
  </si>
  <si>
    <t>USER_0069</t>
  </si>
  <si>
    <t>USER_0239</t>
  </si>
  <si>
    <t>USER_0098</t>
  </si>
  <si>
    <t>USER_0327</t>
  </si>
  <si>
    <t>USER_0144</t>
  </si>
  <si>
    <t>USER_0097</t>
  </si>
  <si>
    <t>USER_0124</t>
  </si>
  <si>
    <t>USER_0070</t>
  </si>
  <si>
    <t>USER_0093</t>
  </si>
  <si>
    <t>USER_0229</t>
  </si>
  <si>
    <t>USER_0148</t>
  </si>
  <si>
    <t>USER_0164</t>
  </si>
  <si>
    <t>USER_0378</t>
  </si>
  <si>
    <t>USER_0090</t>
  </si>
  <si>
    <t>USER_0354</t>
  </si>
  <si>
    <t>USER_0169</t>
  </si>
  <si>
    <t>USER_0287</t>
  </si>
  <si>
    <t>USER_0209</t>
  </si>
  <si>
    <t>USER_0376</t>
  </si>
  <si>
    <t>USER_0399</t>
  </si>
  <si>
    <t>USER_0317</t>
  </si>
  <si>
    <t>USER_0082</t>
  </si>
  <si>
    <t>USER_0104</t>
  </si>
  <si>
    <t>USER_0193</t>
  </si>
  <si>
    <t>USER_0011</t>
  </si>
  <si>
    <t>USER_0151</t>
  </si>
  <si>
    <t>USER_0276</t>
  </si>
  <si>
    <t>USER_0334</t>
  </si>
  <si>
    <t>USER_0007</t>
  </si>
  <si>
    <t>USER_0364</t>
  </si>
  <si>
    <t>USER_0166</t>
  </si>
  <si>
    <t>USER_0112</t>
  </si>
  <si>
    <t>USER_0060</t>
  </si>
  <si>
    <t>USER_0285</t>
  </si>
  <si>
    <t>USER_0197</t>
  </si>
  <si>
    <t>USER_0156</t>
  </si>
  <si>
    <t>USER_0292</t>
  </si>
  <si>
    <t>USER_0140</t>
  </si>
  <si>
    <t>USER_0037</t>
  </si>
  <si>
    <t>USER_0308</t>
  </si>
  <si>
    <t>USER_0219</t>
  </si>
  <si>
    <t>USER_0266</t>
  </si>
  <si>
    <t>USER_0230</t>
  </si>
  <si>
    <t>USER_0195</t>
  </si>
  <si>
    <t>USER_0120</t>
  </si>
  <si>
    <t>USER_0178</t>
  </si>
  <si>
    <t>USER_0259</t>
  </si>
  <si>
    <t>USER_0146</t>
  </si>
  <si>
    <t>USER_0312</t>
  </si>
  <si>
    <t>USER_0246</t>
  </si>
  <si>
    <t>USER_0168</t>
  </si>
  <si>
    <t>USER_0333</t>
  </si>
  <si>
    <t>USER_0352</t>
  </si>
  <si>
    <t>USER_0176</t>
  </si>
  <si>
    <t>USER_0025</t>
  </si>
  <si>
    <t>USER_0348</t>
  </si>
  <si>
    <t>USER_0018</t>
  </si>
  <si>
    <t>USER_0110</t>
  </si>
  <si>
    <t>USER_0158</t>
  </si>
  <si>
    <t>USER_0282</t>
  </si>
  <si>
    <t>USER_0306</t>
  </si>
  <si>
    <t>USER_0286</t>
  </si>
  <si>
    <t>USER_0080</t>
  </si>
  <si>
    <t>USER_0061</t>
  </si>
  <si>
    <t>USER_0298</t>
  </si>
  <si>
    <t>USER_0387</t>
  </si>
  <si>
    <t>USER_0293</t>
  </si>
  <si>
    <t>USER_0388</t>
  </si>
  <si>
    <t>USER_0132</t>
  </si>
  <si>
    <t>USER_0350</t>
  </si>
  <si>
    <t>USER_0356</t>
  </si>
  <si>
    <t>USER_0138</t>
  </si>
  <si>
    <t>USER_0020</t>
  </si>
  <si>
    <t>USER_0008</t>
  </si>
  <si>
    <t>USER_0154</t>
  </si>
  <si>
    <t>USER_0067</t>
  </si>
  <si>
    <t>USER_0017</t>
  </si>
  <si>
    <t>USER_0111</t>
  </si>
  <si>
    <t>USER_0248</t>
  </si>
  <si>
    <t>USER_0076</t>
  </si>
  <si>
    <t>USER_0240</t>
  </si>
  <si>
    <t>USER_0381</t>
  </si>
  <si>
    <t>USER_0374</t>
  </si>
  <si>
    <t>USER_0315</t>
  </si>
  <si>
    <t>USER_0181</t>
  </si>
  <si>
    <t>USER_0221</t>
  </si>
  <si>
    <t>USER_0119</t>
  </si>
  <si>
    <t>USER_0336</t>
  </si>
  <si>
    <t>USER_0234</t>
  </si>
  <si>
    <t>USER_0091</t>
  </si>
  <si>
    <t>USER_0109</t>
  </si>
  <si>
    <t>USER_0302</t>
  </si>
  <si>
    <t>USER_0249</t>
  </si>
  <si>
    <t>USER_0064</t>
  </si>
  <si>
    <t>USER_0275</t>
  </si>
  <si>
    <t>USER_0251</t>
  </si>
  <si>
    <t>USER_0203</t>
  </si>
  <si>
    <t>USER_0019</t>
  </si>
  <si>
    <t>USER_0004</t>
  </si>
  <si>
    <t>USER_0290</t>
  </si>
  <si>
    <t>USER_0177</t>
  </si>
  <si>
    <t>USER_0370</t>
  </si>
  <si>
    <t>USER_0228</t>
  </si>
  <si>
    <t>USER_0247</t>
  </si>
  <si>
    <t>USER_0389</t>
  </si>
  <si>
    <t>USER_0046</t>
  </si>
  <si>
    <t>USER_0006</t>
  </si>
  <si>
    <t>USER_0141</t>
  </si>
  <si>
    <t>USER_0321</t>
  </si>
  <si>
    <t>USER_0074</t>
  </si>
  <si>
    <t>USER_0395</t>
  </si>
  <si>
    <t>USER_0269</t>
  </si>
  <si>
    <t>USER_0353</t>
  </si>
  <si>
    <t>USER_0032</t>
  </si>
  <si>
    <t>USER_0102</t>
  </si>
  <si>
    <t>USER_0079</t>
  </si>
  <si>
    <t>USER_0256</t>
  </si>
  <si>
    <t>USER_0295</t>
  </si>
  <si>
    <t>USER_0125</t>
  </si>
  <si>
    <t>USER_0153</t>
  </si>
  <si>
    <t>USER_0031</t>
  </si>
  <si>
    <t>USER_0173</t>
  </si>
  <si>
    <t>USER_0224</t>
  </si>
  <si>
    <t>USER_0040</t>
  </si>
  <si>
    <t>USER_0375</t>
  </si>
  <si>
    <t>USER_0071</t>
  </si>
  <si>
    <t>USER_0339</t>
  </si>
  <si>
    <t>USER_0322</t>
  </si>
  <si>
    <t>USER_0047</t>
  </si>
  <si>
    <t>USER_0174</t>
  </si>
  <si>
    <t>USER_0023</t>
  </si>
  <si>
    <t>USER_0182</t>
  </si>
  <si>
    <t>USER_0149</t>
  </si>
  <si>
    <t>USER_0383</t>
  </si>
  <si>
    <t>USER_0083</t>
  </si>
  <si>
    <t>USER_0026</t>
  </si>
  <si>
    <t>USER_0077</t>
  </si>
  <si>
    <t>USER_0056</t>
  </si>
  <si>
    <t>USER_0382</t>
  </si>
  <si>
    <t>USER_0142</t>
  </si>
  <si>
    <t>t Critical two-tail</t>
  </si>
  <si>
    <t>USER_0159</t>
  </si>
  <si>
    <t>P(T&lt;=t) two-tail</t>
  </si>
  <si>
    <t>USER_0343</t>
  </si>
  <si>
    <t>t Critical one-tail</t>
  </si>
  <si>
    <t>USER_0114</t>
  </si>
  <si>
    <t>P(T&lt;=t) one-tail</t>
  </si>
  <si>
    <t>USER_0117</t>
  </si>
  <si>
    <t>t Stat</t>
  </si>
  <si>
    <t>USER_0233</t>
  </si>
  <si>
    <t>df</t>
  </si>
  <si>
    <t>USER_0058</t>
  </si>
  <si>
    <t>Hypothesized Mean Difference</t>
  </si>
  <si>
    <t>USER_0262</t>
  </si>
  <si>
    <t>Pooled Variance</t>
  </si>
  <si>
    <t>USER_0194</t>
  </si>
  <si>
    <t>Observations</t>
  </si>
  <si>
    <t>USER_0396</t>
  </si>
  <si>
    <t>Variance</t>
  </si>
  <si>
    <t>USER_0105</t>
  </si>
  <si>
    <t>USER_0263</t>
  </si>
  <si>
    <t>Variable 2</t>
  </si>
  <si>
    <t>Variable 1</t>
  </si>
  <si>
    <t>USER_0226</t>
  </si>
  <si>
    <t>USER_0115</t>
  </si>
  <si>
    <t>t-Test: Two-Sample Assuming Equal Variances</t>
  </si>
  <si>
    <t>USER_0397</t>
  </si>
  <si>
    <t>USER_0001</t>
  </si>
  <si>
    <t>USER_0272</t>
  </si>
  <si>
    <t>USER_0392</t>
  </si>
  <si>
    <t>USER_0016</t>
  </si>
  <si>
    <t>USER_0078</t>
  </si>
  <si>
    <t>USER_0386</t>
  </si>
  <si>
    <t>USER_0232</t>
  </si>
  <si>
    <t>USER_0377</t>
  </si>
  <si>
    <t>"=STDEV.S(H7:H206)"</t>
  </si>
  <si>
    <t>Std Dev</t>
  </si>
  <si>
    <t>USER_0279</t>
  </si>
  <si>
    <t>"=AVERAGE(H7:H206)"</t>
  </si>
  <si>
    <t>USER_0043</t>
  </si>
  <si>
    <t>Sample Size</t>
  </si>
  <si>
    <t>USER_0133</t>
  </si>
  <si>
    <t>Group B</t>
  </si>
  <si>
    <t>USER_0073</t>
  </si>
  <si>
    <t>USER_0057</t>
  </si>
  <si>
    <t>USER_0362</t>
  </si>
  <si>
    <t>USER_0010</t>
  </si>
  <si>
    <t>USER_0267</t>
  </si>
  <si>
    <t>USER_0127</t>
  </si>
  <si>
    <t>Group A</t>
  </si>
  <si>
    <t>USER_0330</t>
  </si>
  <si>
    <t>USER_0095</t>
  </si>
  <si>
    <t>USER_0211</t>
  </si>
  <si>
    <t>USER_0085</t>
  </si>
  <si>
    <t>USER_0281</t>
  </si>
  <si>
    <t>USER_0094</t>
  </si>
  <si>
    <t>USER_0210</t>
  </si>
  <si>
    <t>USER_0034</t>
  </si>
  <si>
    <t>engagement_score</t>
  </si>
  <si>
    <t>group B</t>
  </si>
  <si>
    <t>user_id</t>
  </si>
  <si>
    <t>group A</t>
  </si>
  <si>
    <t>group</t>
  </si>
  <si>
    <t>CITY_060</t>
  </si>
  <si>
    <t>CITY_059</t>
  </si>
  <si>
    <t>CITY_058</t>
  </si>
  <si>
    <t>CITY_057</t>
  </si>
  <si>
    <t>CITY_056</t>
  </si>
  <si>
    <t>CITY_055</t>
  </si>
  <si>
    <t>CITY_054</t>
  </si>
  <si>
    <t>CITY_053</t>
  </si>
  <si>
    <t>CITY_052</t>
  </si>
  <si>
    <t>CITY_051</t>
  </si>
  <si>
    <t>CITY_050</t>
  </si>
  <si>
    <t>CITY_049</t>
  </si>
  <si>
    <t>CITY_048</t>
  </si>
  <si>
    <t>CITY_047</t>
  </si>
  <si>
    <t>CITY_046</t>
  </si>
  <si>
    <t>CITY_045</t>
  </si>
  <si>
    <t>CITY_044</t>
  </si>
  <si>
    <t>CITY_043</t>
  </si>
  <si>
    <t>CITY_042</t>
  </si>
  <si>
    <t>CITY_041</t>
  </si>
  <si>
    <t>CITY_040</t>
  </si>
  <si>
    <t>CITY_039</t>
  </si>
  <si>
    <t>CITY_038</t>
  </si>
  <si>
    <t>CITY_037</t>
  </si>
  <si>
    <t>CITY_036</t>
  </si>
  <si>
    <t>CITY_035</t>
  </si>
  <si>
    <t>CITY_034</t>
  </si>
  <si>
    <t>CITY_033</t>
  </si>
  <si>
    <t>CITY_032</t>
  </si>
  <si>
    <t>CITY_031</t>
  </si>
  <si>
    <t>CITY_030</t>
  </si>
  <si>
    <t>CITY_029</t>
  </si>
  <si>
    <t>CITY_028</t>
  </si>
  <si>
    <t>CITY_027</t>
  </si>
  <si>
    <t>CITY_026</t>
  </si>
  <si>
    <t>CITY_025</t>
  </si>
  <si>
    <t>CITY_024</t>
  </si>
  <si>
    <t>CITY_023</t>
  </si>
  <si>
    <t>CITY_022</t>
  </si>
  <si>
    <t>CITY_021</t>
  </si>
  <si>
    <t>CITY_020</t>
  </si>
  <si>
    <t>CITY_019</t>
  </si>
  <si>
    <t>CITY_018</t>
  </si>
  <si>
    <t>CITY_017</t>
  </si>
  <si>
    <t>CITY_016</t>
  </si>
  <si>
    <t>CITY_015</t>
  </si>
  <si>
    <t>CITY_014</t>
  </si>
  <si>
    <t>CITY_013</t>
  </si>
  <si>
    <t>CITY_012</t>
  </si>
  <si>
    <t>CITY_011</t>
  </si>
  <si>
    <t>CITY_010</t>
  </si>
  <si>
    <t>CITY_009</t>
  </si>
  <si>
    <t>CITY_008</t>
  </si>
  <si>
    <t>CITY_007</t>
  </si>
  <si>
    <t>CITY_006</t>
  </si>
  <si>
    <t>CITY_005</t>
  </si>
  <si>
    <t>CITY_004</t>
  </si>
  <si>
    <t>CITY_003</t>
  </si>
  <si>
    <t>CITY_002</t>
  </si>
  <si>
    <t>CITY_001</t>
  </si>
  <si>
    <t>has_influencer</t>
  </si>
  <si>
    <t>gym_density</t>
  </si>
  <si>
    <t>city_population</t>
  </si>
  <si>
    <t>active_subscribers</t>
  </si>
  <si>
    <t>monthly_revenue</t>
  </si>
  <si>
    <t>city_id</t>
  </si>
  <si>
    <t>Column</t>
  </si>
  <si>
    <t>Variable Name</t>
  </si>
  <si>
    <t>Role</t>
  </si>
  <si>
    <t>Dependent (Y)</t>
  </si>
  <si>
    <t>Independent (X₁)</t>
  </si>
  <si>
    <t>C</t>
  </si>
  <si>
    <t>Independent (X₂)</t>
  </si>
  <si>
    <t>D</t>
  </si>
  <si>
    <t>Independent (X₃)</t>
  </si>
  <si>
    <t>E</t>
  </si>
  <si>
    <t>Independent (X₄)</t>
  </si>
  <si>
    <t>Intercept</t>
  </si>
  <si>
    <t>Upper 95.0%</t>
  </si>
  <si>
    <t>Lower 95.0%</t>
  </si>
  <si>
    <t>Upper 95%</t>
  </si>
  <si>
    <t>Lower 95%</t>
  </si>
  <si>
    <t>P-value</t>
  </si>
  <si>
    <t>Coefficients</t>
  </si>
  <si>
    <t>Residual</t>
  </si>
  <si>
    <t>Regression</t>
  </si>
  <si>
    <t>Significance F</t>
  </si>
  <si>
    <t>F</t>
  </si>
  <si>
    <t>MS</t>
  </si>
  <si>
    <t>SS</t>
  </si>
  <si>
    <t>ANOVA</t>
  </si>
  <si>
    <t>Adjusted R Square</t>
  </si>
  <si>
    <t>R Square</t>
  </si>
  <si>
    <t>Multiple R</t>
  </si>
  <si>
    <t>Regression Statistics</t>
  </si>
  <si>
    <t>SUMMARY OUTPUT</t>
  </si>
  <si>
    <t xml:space="preserve"> (Descriptive statistics)</t>
  </si>
  <si>
    <t xml:space="preserve"> (Frequency Distribution)</t>
  </si>
  <si>
    <t xml:space="preserve"> (Probability using Normal Distribution)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</si>
</sst>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59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17" applyAlignment="0"/>
    <xf numFmtId="0" fontId="1" fillId="0" borderId="17" applyAlignment="0"/>
  </cellStyleXfs>
  <cellXfs count="190">
    <xf numFmtId="0" fontId="0" fillId="0" borderId="0" xfId="0"/>
    <xf numFmtId="0" fontId="9" fillId="5" borderId="4" xfId="9" applyAlignment="1">
      <alignment horizontal="center"/>
    </xf>
    <xf numFmtId="14" fontId="9" fillId="5" borderId="4" xfId="9" applyNumberFormat="1"/>
    <xf numFmtId="0" fontId="0" fillId="0" borderId="0" xfId="0" applyAlignment="1">
      <alignment horizontal="left"/>
    </xf>
    <xf numFmtId="0" fontId="0" fillId="0" borderId="0" xfId="0" applyBorder="1"/>
    <xf numFmtId="0" fontId="1" fillId="19" borderId="17" xfId="28" applyBorder="1"/>
    <xf numFmtId="0" fontId="1" fillId="19" borderId="17" xfId="28" applyBorder="1" applyAlignment="1">
      <alignment horizontal="center"/>
    </xf>
    <xf numFmtId="0" fontId="16" fillId="9" borderId="17" xfId="18" applyFont="1" applyBorder="1" applyAlignment="1">
      <alignment horizontal="center"/>
    </xf>
    <xf numFmtId="0" fontId="1" fillId="9" borderId="21" xfId="18" applyFont="1" applyBorder="1"/>
    <xf numFmtId="0" fontId="16" fillId="9" borderId="21" xfId="18" applyFont="1" applyBorder="1"/>
    <xf numFmtId="0" fontId="16" fillId="9" borderId="23" xfId="18" applyFont="1" applyBorder="1"/>
    <xf numFmtId="0" fontId="1" fillId="19" borderId="24" xfId="28" applyBorder="1"/>
    <xf numFmtId="0" fontId="19" fillId="9" borderId="17" xfId="18" applyFont="1" applyBorder="1"/>
    <xf numFmtId="0" fontId="1" fillId="18" borderId="21" xfId="27" applyBorder="1" applyAlignment="1">
      <alignment horizontal="center"/>
    </xf>
    <xf numFmtId="0" fontId="1" fillId="18" borderId="30" xfId="27" applyBorder="1" applyAlignment="1">
      <alignment horizontal="center"/>
    </xf>
    <xf numFmtId="0" fontId="1" fillId="18" borderId="33" xfId="27" applyBorder="1" applyAlignment="1">
      <alignment horizontal="center"/>
    </xf>
    <xf numFmtId="0" fontId="1" fillId="18" borderId="16" xfId="27" applyBorder="1" applyAlignment="1">
      <alignment horizontal="center" vertical="center" wrapText="1"/>
    </xf>
    <xf numFmtId="0" fontId="16" fillId="9" borderId="35" xfId="18" applyFont="1" applyBorder="1" applyAlignment="1">
      <alignment horizontal="center"/>
    </xf>
    <xf numFmtId="0" fontId="16" fillId="9" borderId="21" xfId="18" applyFont="1" applyBorder="1" applyAlignment="1">
      <alignment horizontal="center"/>
    </xf>
    <xf numFmtId="0" fontId="1" fillId="11" borderId="36" xfId="20" applyBorder="1" applyAlignment="1">
      <alignment horizontal="center" vertical="center" wrapText="1"/>
    </xf>
    <xf numFmtId="0" fontId="16" fillId="9" borderId="20" xfId="18" applyFont="1" applyBorder="1"/>
    <xf numFmtId="0" fontId="1" fillId="20" borderId="22" xfId="29" applyFont="1" applyBorder="1"/>
    <xf numFmtId="0" fontId="1" fillId="20" borderId="25" xfId="29" applyFont="1" applyBorder="1"/>
    <xf numFmtId="0" fontId="13" fillId="7" borderId="7" xfId="13" applyBorder="1"/>
    <xf numFmtId="0" fontId="13" fillId="7" borderId="37" xfId="13" applyBorder="1"/>
    <xf numFmtId="0" fontId="13" fillId="7" borderId="40" xfId="13" applyBorder="1"/>
    <xf numFmtId="0" fontId="13" fillId="7" borderId="41" xfId="13" applyBorder="1"/>
    <xf numFmtId="0" fontId="1" fillId="16" borderId="43" xfId="25" applyFont="1" applyBorder="1" applyAlignment="1">
      <alignment horizontal="center"/>
    </xf>
    <xf numFmtId="0" fontId="1" fillId="14" borderId="22" xfId="23" applyBorder="1" applyAlignment="1">
      <alignment horizontal="center"/>
    </xf>
    <xf numFmtId="0" fontId="1" fillId="14" borderId="25" xfId="23" applyBorder="1" applyAlignment="1">
      <alignment horizontal="center"/>
    </xf>
    <xf numFmtId="0" fontId="16" fillId="13" borderId="4" xfId="22" applyFont="1" applyBorder="1" applyAlignment="1">
      <alignment horizontal="center" vertical="center"/>
    </xf>
    <xf numFmtId="0" fontId="16" fillId="13" borderId="4" xfId="22" applyFont="1" applyBorder="1"/>
    <xf numFmtId="0" fontId="16" fillId="13" borderId="4" xfId="22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16" xfId="0" applyBorder="1"/>
    <xf numFmtId="0" fontId="0" fillId="0" borderId="29" xfId="0" applyBorder="1"/>
    <xf numFmtId="0" fontId="0" fillId="0" borderId="48" xfId="0" applyBorder="1"/>
    <xf numFmtId="0" fontId="0" fillId="0" borderId="14" xfId="0" applyBorder="1"/>
    <xf numFmtId="0" fontId="0" fillId="0" borderId="0" xfId="0" applyBorder="1" applyAlignment="1"/>
    <xf numFmtId="0" fontId="0" fillId="0" borderId="13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1" fillId="11" borderId="24" xfId="20" applyFont="1" applyBorder="1" applyAlignment="1">
      <alignment horizontal="center" vertical="center"/>
    </xf>
    <xf numFmtId="0" fontId="1" fillId="11" borderId="17" xfId="20" applyFont="1" applyBorder="1" applyAlignment="1">
      <alignment horizontal="center" vertical="center"/>
    </xf>
    <xf numFmtId="0" fontId="1" fillId="11" borderId="17" xfId="20" applyFont="1" applyBorder="1" applyAlignment="1">
      <alignment horizontal="center"/>
    </xf>
    <xf numFmtId="0" fontId="1" fillId="9" borderId="19" xfId="18" applyFont="1" applyBorder="1" applyAlignment="1">
      <alignment horizontal="center"/>
    </xf>
    <xf numFmtId="0" fontId="0" fillId="0" borderId="48" xfId="0" applyBorder="1" applyAlignment="1"/>
    <xf numFmtId="0" fontId="0" fillId="0" borderId="48" xfId="0" applyBorder="1" applyAlignment="1">
      <alignment vertical="center"/>
    </xf>
    <xf numFmtId="0" fontId="16" fillId="29" borderId="17" xfId="38" applyFont="1" applyBorder="1" applyAlignment="1">
      <alignment horizontal="center" vertical="center"/>
    </xf>
    <xf numFmtId="0" fontId="9" fillId="5" borderId="57" xfId="9" applyBorder="1" applyAlignment="1">
      <alignment horizontal="center"/>
    </xf>
    <xf numFmtId="0" fontId="16" fillId="13" borderId="58" xfId="22" applyFont="1" applyBorder="1" applyAlignment="1">
      <alignment horizontal="center" vertical="center"/>
    </xf>
    <xf numFmtId="0" fontId="16" fillId="13" borderId="59" xfId="22" applyFont="1" applyBorder="1" applyAlignment="1">
      <alignment horizontal="center" vertical="center"/>
    </xf>
    <xf numFmtId="0" fontId="16" fillId="13" borderId="60" xfId="22" applyFont="1" applyBorder="1" applyAlignment="1">
      <alignment horizontal="center" vertical="center"/>
    </xf>
    <xf numFmtId="0" fontId="22" fillId="0" borderId="17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22" xfId="0" applyBorder="1"/>
    <xf numFmtId="0" fontId="0" fillId="0" borderId="24" xfId="0" applyFill="1" applyBorder="1" applyAlignment="1"/>
    <xf numFmtId="0" fontId="0" fillId="0" borderId="25" xfId="0" applyBorder="1"/>
    <xf numFmtId="0" fontId="22" fillId="0" borderId="42" xfId="0" applyFont="1" applyFill="1" applyBorder="1" applyAlignment="1">
      <alignment horizontal="center"/>
    </xf>
    <xf numFmtId="0" fontId="0" fillId="0" borderId="43" xfId="0" applyBorder="1"/>
    <xf numFmtId="0" fontId="9" fillId="5" borderId="4" xfId="9"/>
    <xf numFmtId="0" fontId="0" fillId="34" borderId="21" xfId="0" applyFont="1" applyFill="1" applyBorder="1" applyAlignment="1">
      <alignment horizontal="center"/>
    </xf>
    <xf numFmtId="0" fontId="0" fillId="34" borderId="23" xfId="0" applyFont="1" applyFill="1" applyBorder="1" applyAlignment="1">
      <alignment horizontal="center"/>
    </xf>
    <xf numFmtId="0" fontId="16" fillId="34" borderId="18" xfId="0" applyFont="1" applyFill="1" applyBorder="1" applyAlignment="1">
      <alignment horizontal="center"/>
    </xf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1" fillId="19" borderId="24" xfId="28" applyBorder="1" applyAlignment="1">
      <alignment horizontal="center"/>
    </xf>
    <xf numFmtId="0" fontId="1" fillId="19" borderId="25" xfId="28" applyBorder="1" applyAlignment="1">
      <alignment horizontal="center"/>
    </xf>
    <xf numFmtId="0" fontId="18" fillId="9" borderId="18" xfId="18" applyFont="1" applyBorder="1" applyAlignment="1">
      <alignment horizontal="center"/>
    </xf>
    <xf numFmtId="0" fontId="18" fillId="9" borderId="19" xfId="18" applyFont="1" applyBorder="1" applyAlignment="1">
      <alignment horizontal="center"/>
    </xf>
    <xf numFmtId="0" fontId="18" fillId="9" borderId="20" xfId="18" applyFont="1" applyBorder="1" applyAlignment="1">
      <alignment horizontal="center"/>
    </xf>
    <xf numFmtId="0" fontId="16" fillId="9" borderId="17" xfId="18" applyFont="1" applyBorder="1" applyAlignment="1">
      <alignment horizontal="center"/>
    </xf>
    <xf numFmtId="0" fontId="16" fillId="9" borderId="22" xfId="18" applyFont="1" applyBorder="1" applyAlignment="1">
      <alignment horizontal="center"/>
    </xf>
    <xf numFmtId="0" fontId="1" fillId="19" borderId="17" xfId="28" applyBorder="1" applyAlignment="1">
      <alignment horizontal="center"/>
    </xf>
    <xf numFmtId="0" fontId="1" fillId="19" borderId="22" xfId="28" applyBorder="1" applyAlignment="1">
      <alignment horizontal="center"/>
    </xf>
    <xf numFmtId="0" fontId="1" fillId="20" borderId="17" xfId="29" applyFont="1" applyBorder="1" applyAlignment="1">
      <alignment horizontal="center"/>
    </xf>
    <xf numFmtId="0" fontId="16" fillId="9" borderId="19" xfId="18" applyFont="1" applyBorder="1" applyAlignment="1">
      <alignment horizontal="center"/>
    </xf>
    <xf numFmtId="0" fontId="16" fillId="9" borderId="18" xfId="18" applyFont="1" applyBorder="1" applyAlignment="1">
      <alignment horizontal="center"/>
    </xf>
    <xf numFmtId="0" fontId="0" fillId="9" borderId="21" xfId="18" applyFont="1" applyBorder="1" applyAlignment="1">
      <alignment horizontal="center"/>
    </xf>
    <xf numFmtId="0" fontId="1" fillId="9" borderId="17" xfId="18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18" borderId="26" xfId="27" applyBorder="1" applyAlignment="1">
      <alignment horizontal="center"/>
    </xf>
    <xf numFmtId="0" fontId="1" fillId="18" borderId="27" xfId="27" applyBorder="1" applyAlignment="1">
      <alignment horizontal="center"/>
    </xf>
    <xf numFmtId="0" fontId="1" fillId="18" borderId="28" xfId="27" applyBorder="1" applyAlignment="1">
      <alignment horizontal="center"/>
    </xf>
    <xf numFmtId="0" fontId="16" fillId="9" borderId="26" xfId="18" applyFont="1" applyBorder="1" applyAlignment="1">
      <alignment horizontal="center"/>
    </xf>
    <xf numFmtId="0" fontId="16" fillId="9" borderId="27" xfId="18" applyFont="1" applyBorder="1" applyAlignment="1">
      <alignment horizontal="center"/>
    </xf>
    <xf numFmtId="0" fontId="16" fillId="9" borderId="28" xfId="18" applyFont="1" applyBorder="1" applyAlignment="1">
      <alignment horizontal="center"/>
    </xf>
    <xf numFmtId="0" fontId="18" fillId="9" borderId="35" xfId="18" applyFont="1" applyBorder="1" applyAlignment="1">
      <alignment horizontal="center"/>
    </xf>
    <xf numFmtId="0" fontId="18" fillId="9" borderId="38" xfId="18" applyFont="1" applyBorder="1" applyAlignment="1">
      <alignment horizontal="center"/>
    </xf>
    <xf numFmtId="0" fontId="18" fillId="9" borderId="36" xfId="18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18" borderId="31" xfId="27" applyBorder="1" applyAlignment="1">
      <alignment horizontal="center"/>
    </xf>
    <xf numFmtId="0" fontId="1" fillId="18" borderId="29" xfId="27" applyBorder="1" applyAlignment="1">
      <alignment horizontal="center"/>
    </xf>
    <xf numFmtId="0" fontId="1" fillId="18" borderId="32" xfId="27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9" borderId="23" xfId="18" applyFont="1" applyBorder="1" applyAlignment="1">
      <alignment horizontal="center"/>
    </xf>
    <xf numFmtId="0" fontId="1" fillId="9" borderId="24" xfId="18" applyFont="1" applyBorder="1" applyAlignment="1">
      <alignment horizontal="center"/>
    </xf>
    <xf numFmtId="0" fontId="1" fillId="20" borderId="24" xfId="29" applyFont="1" applyBorder="1" applyAlignment="1">
      <alignment horizontal="center"/>
    </xf>
    <xf numFmtId="0" fontId="1" fillId="14" borderId="21" xfId="23" applyBorder="1" applyAlignment="1">
      <alignment horizontal="center"/>
    </xf>
    <xf numFmtId="0" fontId="1" fillId="14" borderId="17" xfId="23" applyBorder="1" applyAlignment="1">
      <alignment horizontal="center"/>
    </xf>
    <xf numFmtId="0" fontId="1" fillId="14" borderId="23" xfId="23" applyBorder="1" applyAlignment="1">
      <alignment horizontal="center"/>
    </xf>
    <xf numFmtId="0" fontId="1" fillId="14" borderId="24" xfId="23" applyBorder="1" applyAlignment="1">
      <alignment horizontal="center"/>
    </xf>
    <xf numFmtId="0" fontId="18" fillId="13" borderId="35" xfId="22" applyFont="1" applyBorder="1" applyAlignment="1">
      <alignment horizontal="center"/>
    </xf>
    <xf numFmtId="0" fontId="18" fillId="13" borderId="38" xfId="22" applyFont="1" applyBorder="1" applyAlignment="1">
      <alignment horizontal="center"/>
    </xf>
    <xf numFmtId="0" fontId="18" fillId="13" borderId="36" xfId="22" applyFont="1" applyBorder="1" applyAlignment="1">
      <alignment horizontal="center"/>
    </xf>
    <xf numFmtId="0" fontId="1" fillId="16" borderId="34" xfId="25" applyFont="1" applyBorder="1" applyAlignment="1">
      <alignment horizontal="center"/>
    </xf>
    <xf numFmtId="0" fontId="1" fillId="16" borderId="42" xfId="25" applyFont="1" applyBorder="1" applyAlignment="1">
      <alignment horizontal="center"/>
    </xf>
    <xf numFmtId="0" fontId="0" fillId="0" borderId="0" xfId="0" applyAlignment="1">
      <alignment horizontal="center"/>
    </xf>
    <xf numFmtId="0" fontId="13" fillId="29" borderId="18" xfId="38" applyFont="1" applyBorder="1" applyAlignment="1">
      <alignment horizontal="center"/>
    </xf>
    <xf numFmtId="0" fontId="13" fillId="29" borderId="19" xfId="38" applyFont="1" applyBorder="1" applyAlignment="1">
      <alignment horizontal="center"/>
    </xf>
    <xf numFmtId="0" fontId="13" fillId="29" borderId="20" xfId="38" applyFont="1" applyBorder="1" applyAlignment="1">
      <alignment horizontal="center"/>
    </xf>
    <xf numFmtId="0" fontId="13" fillId="29" borderId="21" xfId="38" applyFont="1" applyBorder="1" applyAlignment="1">
      <alignment horizontal="center"/>
    </xf>
    <xf numFmtId="0" fontId="13" fillId="29" borderId="17" xfId="38" applyFont="1" applyBorder="1" applyAlignment="1">
      <alignment horizontal="center"/>
    </xf>
    <xf numFmtId="0" fontId="13" fillId="29" borderId="22" xfId="38" applyFont="1" applyBorder="1" applyAlignment="1">
      <alignment horizontal="center"/>
    </xf>
    <xf numFmtId="0" fontId="13" fillId="29" borderId="23" xfId="38" applyFont="1" applyBorder="1" applyAlignment="1">
      <alignment horizontal="center"/>
    </xf>
    <xf numFmtId="0" fontId="13" fillId="29" borderId="24" xfId="38" applyFont="1" applyBorder="1" applyAlignment="1">
      <alignment horizontal="center"/>
    </xf>
    <xf numFmtId="0" fontId="13" fillId="29" borderId="25" xfId="38" applyFont="1" applyBorder="1" applyAlignment="1">
      <alignment horizontal="center"/>
    </xf>
    <xf numFmtId="0" fontId="1" fillId="31" borderId="24" xfId="40" applyBorder="1" applyAlignment="1">
      <alignment horizontal="center"/>
    </xf>
    <xf numFmtId="0" fontId="1" fillId="31" borderId="25" xfId="40" applyBorder="1" applyAlignment="1">
      <alignment horizontal="center"/>
    </xf>
    <xf numFmtId="0" fontId="16" fillId="29" borderId="35" xfId="38" applyFont="1" applyBorder="1" applyAlignment="1">
      <alignment horizontal="center"/>
    </xf>
    <xf numFmtId="0" fontId="16" fillId="29" borderId="38" xfId="38" applyFont="1" applyBorder="1" applyAlignment="1">
      <alignment horizontal="center"/>
    </xf>
    <xf numFmtId="0" fontId="16" fillId="29" borderId="36" xfId="38" applyFont="1" applyBorder="1" applyAlignment="1">
      <alignment horizontal="center"/>
    </xf>
    <xf numFmtId="0" fontId="1" fillId="31" borderId="17" xfId="40" applyBorder="1" applyAlignment="1">
      <alignment horizontal="center"/>
    </xf>
    <xf numFmtId="0" fontId="1" fillId="31" borderId="22" xfId="40" applyBorder="1" applyAlignment="1">
      <alignment horizontal="center"/>
    </xf>
    <xf numFmtId="0" fontId="1" fillId="31" borderId="21" xfId="40" applyBorder="1" applyAlignment="1">
      <alignment horizontal="center"/>
    </xf>
    <xf numFmtId="0" fontId="1" fillId="31" borderId="23" xfId="40" applyBorder="1" applyAlignment="1">
      <alignment horizontal="center"/>
    </xf>
    <xf numFmtId="0" fontId="1" fillId="9" borderId="56" xfId="18" applyFont="1" applyBorder="1" applyAlignment="1">
      <alignment horizontal="center" vertical="center"/>
    </xf>
    <xf numFmtId="0" fontId="1" fillId="9" borderId="28" xfId="18" applyFont="1" applyBorder="1" applyAlignment="1">
      <alignment horizontal="center" vertical="center"/>
    </xf>
    <xf numFmtId="0" fontId="1" fillId="9" borderId="19" xfId="18" applyFont="1" applyBorder="1" applyAlignment="1">
      <alignment horizontal="center"/>
    </xf>
    <xf numFmtId="0" fontId="1" fillId="9" borderId="20" xfId="18" applyFont="1" applyBorder="1" applyAlignment="1">
      <alignment horizontal="center"/>
    </xf>
    <xf numFmtId="0" fontId="1" fillId="9" borderId="55" xfId="18" applyFont="1" applyBorder="1" applyAlignment="1">
      <alignment horizontal="center" vertical="center"/>
    </xf>
    <xf numFmtId="0" fontId="1" fillId="9" borderId="54" xfId="18" applyFont="1" applyBorder="1" applyAlignment="1">
      <alignment horizontal="center" vertical="center"/>
    </xf>
    <xf numFmtId="0" fontId="1" fillId="11" borderId="26" xfId="20" applyFont="1" applyBorder="1" applyAlignment="1">
      <alignment horizontal="center" vertical="center"/>
    </xf>
    <xf numFmtId="0" fontId="1" fillId="11" borderId="33" xfId="20" applyFont="1" applyBorder="1" applyAlignment="1">
      <alignment horizontal="center" vertical="center"/>
    </xf>
    <xf numFmtId="0" fontId="1" fillId="11" borderId="53" xfId="20" applyFont="1" applyBorder="1" applyAlignment="1">
      <alignment horizontal="center" vertical="center"/>
    </xf>
    <xf numFmtId="0" fontId="1" fillId="11" borderId="52" xfId="20" applyFont="1" applyBorder="1" applyAlignment="1">
      <alignment horizontal="center" vertical="center"/>
    </xf>
    <xf numFmtId="0" fontId="1" fillId="9" borderId="56" xfId="18" applyFont="1" applyBorder="1" applyAlignment="1">
      <alignment horizontal="center"/>
    </xf>
    <xf numFmtId="0" fontId="1" fillId="9" borderId="28" xfId="18" applyFont="1" applyBorder="1" applyAlignment="1">
      <alignment horizontal="center"/>
    </xf>
    <xf numFmtId="0" fontId="1" fillId="11" borderId="26" xfId="20" applyFont="1" applyBorder="1" applyAlignment="1">
      <alignment horizontal="center"/>
    </xf>
    <xf numFmtId="0" fontId="1" fillId="11" borderId="33" xfId="20" applyFont="1" applyBorder="1" applyAlignment="1">
      <alignment horizontal="center"/>
    </xf>
    <xf numFmtId="0" fontId="1" fillId="9" borderId="21" xfId="18" applyFont="1" applyBorder="1" applyAlignment="1">
      <alignment horizontal="center"/>
    </xf>
    <xf numFmtId="0" fontId="1" fillId="11" borderId="17" xfId="20" applyFont="1" applyBorder="1" applyAlignment="1">
      <alignment horizontal="center"/>
    </xf>
    <xf numFmtId="0" fontId="1" fillId="11" borderId="22" xfId="20" applyFont="1" applyBorder="1" applyAlignment="1">
      <alignment horizontal="center"/>
    </xf>
    <xf numFmtId="0" fontId="1" fillId="9" borderId="21" xfId="18" applyFont="1" applyBorder="1" applyAlignment="1">
      <alignment horizontal="center" vertical="center"/>
    </xf>
    <xf numFmtId="0" fontId="1" fillId="9" borderId="17" xfId="18" applyFont="1" applyBorder="1" applyAlignment="1">
      <alignment horizontal="center" vertical="center"/>
    </xf>
    <xf numFmtId="0" fontId="1" fillId="11" borderId="17" xfId="20" applyFont="1" applyBorder="1" applyAlignment="1">
      <alignment horizontal="center" vertical="center"/>
    </xf>
    <xf numFmtId="0" fontId="1" fillId="11" borderId="22" xfId="20" applyFont="1" applyBorder="1" applyAlignment="1">
      <alignment horizontal="center" vertical="center"/>
    </xf>
    <xf numFmtId="0" fontId="1" fillId="9" borderId="23" xfId="18" applyFont="1" applyBorder="1" applyAlignment="1">
      <alignment horizontal="center" vertical="center"/>
    </xf>
    <xf numFmtId="0" fontId="1" fillId="9" borderId="24" xfId="18" applyFont="1" applyBorder="1" applyAlignment="1">
      <alignment horizontal="center" vertical="center"/>
    </xf>
    <xf numFmtId="0" fontId="1" fillId="11" borderId="24" xfId="20" applyFont="1" applyBorder="1" applyAlignment="1">
      <alignment horizontal="center" vertical="center"/>
    </xf>
    <xf numFmtId="0" fontId="1" fillId="11" borderId="25" xfId="20" applyFont="1" applyBorder="1" applyAlignment="1">
      <alignment horizontal="center" vertical="center"/>
    </xf>
    <xf numFmtId="0" fontId="0" fillId="0" borderId="21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22" fillId="0" borderId="34" xfId="0" applyFont="1" applyFill="1" applyBorder="1" applyAlignment="1">
      <alignment horizontal="center"/>
    </xf>
    <xf numFmtId="0" fontId="22" fillId="0" borderId="42" xfId="0" applyFont="1" applyFill="1" applyBorder="1" applyAlignment="1">
      <alignment horizontal="center"/>
    </xf>
    <xf numFmtId="0" fontId="22" fillId="0" borderId="17" xfId="0" applyFont="1" applyFill="1" applyBorder="1" applyAlignment="1">
      <alignment horizontal="center"/>
    </xf>
    <xf numFmtId="0" fontId="1" fillId="18" borderId="33" xfId="27" applyBorder="1" applyAlignment="1">
      <alignment horizontal="center"/>
    </xf>
    <xf numFmtId="0" fontId="1" fillId="18" borderId="53" xfId="27" applyBorder="1" applyAlignment="1">
      <alignment horizontal="center"/>
    </xf>
    <xf numFmtId="0" fontId="1" fillId="18" borderId="52" xfId="27" applyBorder="1" applyAlignment="1">
      <alignment horizontal="center"/>
    </xf>
    <xf numFmtId="0" fontId="1" fillId="18" borderId="54" xfId="27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" fillId="18" borderId="17" xfId="27" applyBorder="1" applyAlignment="1">
      <alignment horizontal="center"/>
    </xf>
    <xf numFmtId="0" fontId="16" fillId="34" borderId="19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/>
    <cellStyle name="Style 2" xfId="43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CCFF"/>
      <color rgb="FFCC99FF"/>
      <color rgb="FF9966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6628</xdr:colOff>
      <xdr:row>23</xdr:row>
      <xdr:rowOff>0</xdr:rowOff>
    </xdr:from>
    <xdr:to>
      <xdr:col>11</xdr:col>
      <xdr:colOff>602974</xdr:colOff>
      <xdr:row>27</xdr:row>
      <xdr:rowOff>0</xdr:rowOff>
    </xdr:to>
    <xdr:sp macro="" textlink="">
      <xdr:nvSpPr>
        <xdr:cNvPr id="3" name="TextBox 2"/>
        <xdr:cNvSpPr txBox="1"/>
      </xdr:nvSpPr>
      <xdr:spPr>
        <a:xfrm>
          <a:off x="7659758" y="4313583"/>
          <a:ext cx="1934816" cy="7885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IN" sz="6000"/>
            <a:t>    </a:t>
          </a:r>
          <a:r>
            <a:rPr lang="en-IN" sz="1800" b="1" u="none">
              <a:solidFill>
                <a:srgbClr val="FF0000"/>
              </a:solidFill>
            </a:rPr>
            <a:t>(</a:t>
          </a:r>
          <a:r>
            <a:rPr lang="en-IN" sz="1800" b="1" i="1" u="none">
              <a:solidFill>
                <a:srgbClr val="FF0000"/>
              </a:solidFill>
            </a:rPr>
            <a:t>Given</a:t>
          </a:r>
          <a:r>
            <a:rPr lang="en-IN" sz="1800" b="1" u="none">
              <a:solidFill>
                <a:srgbClr val="FF0000"/>
              </a:solidFill>
            </a:rPr>
            <a:t>)</a:t>
          </a:r>
        </a:p>
      </xdr:txBody>
    </xdr:sp>
    <xdr:clientData/>
  </xdr:twoCellAnchor>
  <xdr:twoCellAnchor>
    <xdr:from>
      <xdr:col>9</xdr:col>
      <xdr:colOff>92766</xdr:colOff>
      <xdr:row>23</xdr:row>
      <xdr:rowOff>79513</xdr:rowOff>
    </xdr:from>
    <xdr:to>
      <xdr:col>9</xdr:col>
      <xdr:colOff>523461</xdr:colOff>
      <xdr:row>26</xdr:row>
      <xdr:rowOff>125896</xdr:rowOff>
    </xdr:to>
    <xdr:sp macro="" textlink="">
      <xdr:nvSpPr>
        <xdr:cNvPr id="4" name="Right Brace 3"/>
        <xdr:cNvSpPr/>
      </xdr:nvSpPr>
      <xdr:spPr>
        <a:xfrm>
          <a:off x="7745896" y="4393096"/>
          <a:ext cx="430695" cy="636104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41032</xdr:colOff>
      <xdr:row>12</xdr:row>
      <xdr:rowOff>41031</xdr:rowOff>
    </xdr:from>
    <xdr:to>
      <xdr:col>10</xdr:col>
      <xdr:colOff>187570</xdr:colOff>
      <xdr:row>12</xdr:row>
      <xdr:rowOff>158262</xdr:rowOff>
    </xdr:to>
    <xdr:sp macro="" textlink="">
      <xdr:nvSpPr>
        <xdr:cNvPr id="2" name="Right Arrow 1"/>
        <xdr:cNvSpPr/>
      </xdr:nvSpPr>
      <xdr:spPr>
        <a:xfrm>
          <a:off x="6137032" y="2280139"/>
          <a:ext cx="146538" cy="11723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41031</xdr:colOff>
      <xdr:row>13</xdr:row>
      <xdr:rowOff>35170</xdr:rowOff>
    </xdr:from>
    <xdr:to>
      <xdr:col>10</xdr:col>
      <xdr:colOff>187569</xdr:colOff>
      <xdr:row>13</xdr:row>
      <xdr:rowOff>152401</xdr:rowOff>
    </xdr:to>
    <xdr:sp macro="" textlink="">
      <xdr:nvSpPr>
        <xdr:cNvPr id="5" name="Right Arrow 4"/>
        <xdr:cNvSpPr/>
      </xdr:nvSpPr>
      <xdr:spPr>
        <a:xfrm>
          <a:off x="6137031" y="2455985"/>
          <a:ext cx="146538" cy="117231"/>
        </a:xfrm>
        <a:prstGeom prst="righ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10</xdr:col>
      <xdr:colOff>41031</xdr:colOff>
      <xdr:row>14</xdr:row>
      <xdr:rowOff>35170</xdr:rowOff>
    </xdr:from>
    <xdr:to>
      <xdr:col>10</xdr:col>
      <xdr:colOff>187569</xdr:colOff>
      <xdr:row>14</xdr:row>
      <xdr:rowOff>152401</xdr:rowOff>
    </xdr:to>
    <xdr:sp macro="" textlink="">
      <xdr:nvSpPr>
        <xdr:cNvPr id="7" name="Right Arrow 6"/>
        <xdr:cNvSpPr/>
      </xdr:nvSpPr>
      <xdr:spPr>
        <a:xfrm>
          <a:off x="6137031" y="2637693"/>
          <a:ext cx="146538" cy="117231"/>
        </a:xfrm>
        <a:prstGeom prst="righ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10</xdr:col>
      <xdr:colOff>46892</xdr:colOff>
      <xdr:row>15</xdr:row>
      <xdr:rowOff>29307</xdr:rowOff>
    </xdr:from>
    <xdr:to>
      <xdr:col>10</xdr:col>
      <xdr:colOff>193430</xdr:colOff>
      <xdr:row>15</xdr:row>
      <xdr:rowOff>146538</xdr:rowOff>
    </xdr:to>
    <xdr:sp macro="" textlink="">
      <xdr:nvSpPr>
        <xdr:cNvPr id="9" name="Right Arrow 8"/>
        <xdr:cNvSpPr/>
      </xdr:nvSpPr>
      <xdr:spPr>
        <a:xfrm>
          <a:off x="6142892" y="2813538"/>
          <a:ext cx="146538" cy="117231"/>
        </a:xfrm>
        <a:prstGeom prst="righ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oneCellAnchor>
    <xdr:from>
      <xdr:col>8</xdr:col>
      <xdr:colOff>158260</xdr:colOff>
      <xdr:row>7</xdr:row>
      <xdr:rowOff>46892</xdr:rowOff>
    </xdr:from>
    <xdr:ext cx="3370385" cy="603739"/>
    <xdr:sp macro="" textlink="">
      <xdr:nvSpPr>
        <xdr:cNvPr id="3" name="TextBox 2"/>
        <xdr:cNvSpPr txBox="1"/>
      </xdr:nvSpPr>
      <xdr:spPr>
        <a:xfrm>
          <a:off x="5035060" y="1342292"/>
          <a:ext cx="3370385" cy="60373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2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One-Sample T-Test</a:t>
          </a:r>
        </a:p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600635</xdr:colOff>
      <xdr:row>0</xdr:row>
      <xdr:rowOff>143436</xdr:rowOff>
    </xdr:from>
    <xdr:to>
      <xdr:col>11</xdr:col>
      <xdr:colOff>519953</xdr:colOff>
      <xdr:row>4</xdr:row>
      <xdr:rowOff>17929</xdr:rowOff>
    </xdr:to>
    <xdr:sp macro="" textlink="">
      <xdr:nvSpPr>
        <xdr:cNvPr id="2" name="TextBox 1"/>
        <xdr:cNvSpPr txBox="1"/>
      </xdr:nvSpPr>
      <xdr:spPr>
        <a:xfrm>
          <a:off x="3648635" y="143436"/>
          <a:ext cx="3576918" cy="60601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 u="sng"/>
            <a:t>Seprated Group ( Group</a:t>
          </a:r>
          <a:r>
            <a:rPr lang="en-IN" sz="1800" b="1" u="sng" baseline="0"/>
            <a:t> A and Group B) </a:t>
          </a:r>
          <a:endParaRPr lang="en-IN" sz="1800" b="1" u="sng"/>
        </a:p>
      </xdr:txBody>
    </xdr:sp>
    <xdr:clientData/>
  </xdr:twoCellAnchor>
  <xdr:twoCellAnchor>
    <xdr:from>
      <xdr:col>7</xdr:col>
      <xdr:colOff>125506</xdr:colOff>
      <xdr:row>2</xdr:row>
      <xdr:rowOff>62752</xdr:rowOff>
    </xdr:from>
    <xdr:to>
      <xdr:col>10</xdr:col>
      <xdr:colOff>197224</xdr:colOff>
      <xdr:row>3</xdr:row>
      <xdr:rowOff>80680</xdr:rowOff>
    </xdr:to>
    <xdr:sp macro="" textlink="">
      <xdr:nvSpPr>
        <xdr:cNvPr id="3" name="TextBox 2"/>
        <xdr:cNvSpPr txBox="1"/>
      </xdr:nvSpPr>
      <xdr:spPr>
        <a:xfrm>
          <a:off x="4392706" y="428512"/>
          <a:ext cx="1900518" cy="20080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[Using Filter in Data tab</a:t>
          </a:r>
          <a:r>
            <a:rPr lang="en-IN" sz="1100" baseline="0"/>
            <a:t> ]</a:t>
          </a:r>
          <a:endParaRPr lang="en-IN" sz="1100"/>
        </a:p>
      </xdr:txBody>
    </xdr:sp>
    <xdr:clientData/>
  </xdr:twoCellAnchor>
  <xdr:twoCellAnchor>
    <xdr:from>
      <xdr:col>13</xdr:col>
      <xdr:colOff>600637</xdr:colOff>
      <xdr:row>5</xdr:row>
      <xdr:rowOff>62752</xdr:rowOff>
    </xdr:from>
    <xdr:to>
      <xdr:col>19</xdr:col>
      <xdr:colOff>26895</xdr:colOff>
      <xdr:row>7</xdr:row>
      <xdr:rowOff>89647</xdr:rowOff>
    </xdr:to>
    <xdr:sp macro="" textlink="">
      <xdr:nvSpPr>
        <xdr:cNvPr id="4" name="TextBox 3"/>
        <xdr:cNvSpPr txBox="1"/>
      </xdr:nvSpPr>
      <xdr:spPr>
        <a:xfrm>
          <a:off x="8525437" y="977152"/>
          <a:ext cx="3083858" cy="39265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Summary Statistics</a:t>
          </a:r>
        </a:p>
        <a:p>
          <a:endParaRPr lang="en-IN" sz="1100"/>
        </a:p>
      </xdr:txBody>
    </xdr:sp>
    <xdr:clientData/>
  </xdr:twoCellAnchor>
  <xdr:twoCellAnchor>
    <xdr:from>
      <xdr:col>13</xdr:col>
      <xdr:colOff>367553</xdr:colOff>
      <xdr:row>20</xdr:row>
      <xdr:rowOff>116541</xdr:rowOff>
    </xdr:from>
    <xdr:to>
      <xdr:col>21</xdr:col>
      <xdr:colOff>215153</xdr:colOff>
      <xdr:row>25</xdr:row>
      <xdr:rowOff>107576</xdr:rowOff>
    </xdr:to>
    <xdr:sp macro="" textlink="">
      <xdr:nvSpPr>
        <xdr:cNvPr id="5" name="TextBox 4"/>
        <xdr:cNvSpPr txBox="1"/>
      </xdr:nvSpPr>
      <xdr:spPr>
        <a:xfrm>
          <a:off x="8292353" y="3774141"/>
          <a:ext cx="4724400" cy="90543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t-Test</a:t>
          </a:r>
          <a:endParaRPr lang="en-IN" sz="2400" b="1" u="sng"/>
        </a:p>
      </xdr:txBody>
    </xdr:sp>
    <xdr:clientData/>
  </xdr:twoCellAnchor>
  <xdr:twoCellAnchor>
    <xdr:from>
      <xdr:col>14</xdr:col>
      <xdr:colOff>116541</xdr:colOff>
      <xdr:row>23</xdr:row>
      <xdr:rowOff>0</xdr:rowOff>
    </xdr:from>
    <xdr:to>
      <xdr:col>20</xdr:col>
      <xdr:colOff>385483</xdr:colOff>
      <xdr:row>25</xdr:row>
      <xdr:rowOff>89647</xdr:rowOff>
    </xdr:to>
    <xdr:sp macro="" textlink="">
      <xdr:nvSpPr>
        <xdr:cNvPr id="6" name="TextBox 5"/>
        <xdr:cNvSpPr txBox="1"/>
      </xdr:nvSpPr>
      <xdr:spPr>
        <a:xfrm>
          <a:off x="8650941" y="4206240"/>
          <a:ext cx="3926542" cy="45540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 t-Test: Two-Sample Assuming Unequal Variances using  Excel's Data Analysis Toolpak ]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510986</xdr:colOff>
      <xdr:row>1</xdr:row>
      <xdr:rowOff>161365</xdr:rowOff>
    </xdr:from>
    <xdr:to>
      <xdr:col>16</xdr:col>
      <xdr:colOff>367551</xdr:colOff>
      <xdr:row>5</xdr:row>
      <xdr:rowOff>80681</xdr:rowOff>
    </xdr:to>
    <xdr:sp macro="" textlink="">
      <xdr:nvSpPr>
        <xdr:cNvPr id="2" name="TextBox 1"/>
        <xdr:cNvSpPr txBox="1"/>
      </xdr:nvSpPr>
      <xdr:spPr>
        <a:xfrm>
          <a:off x="7216586" y="344245"/>
          <a:ext cx="2904565" cy="650836"/>
        </a:xfrm>
        <a:prstGeom prst="rect">
          <a:avLst/>
        </a:prstGeom>
        <a:solidFill>
          <a:srgbClr val="CC99FF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 Regression Analysis</a:t>
          </a: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Using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Excel's Data analysis Toolpak )</a:t>
          </a:r>
          <a:endParaRPr lang="en-I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1"/>
  <sheetViews>
    <sheetView tabSelected="1" topLeftCell="A4" zoomScale="115" zoomScaleNormal="115" workbookViewId="0">
      <selection activeCell="M14" sqref="M14"/>
    </sheetView>
  </sheetViews>
  <sheetFormatPr defaultRowHeight="14.4" x14ac:dyDescent="0.3"/>
  <cols>
    <col min="1" max="1" width="11.77734375" customWidth="1"/>
    <col min="2" max="2" width="18.33203125" customWidth="1"/>
    <col min="3" max="3" width="16.6640625" customWidth="1"/>
    <col min="4" max="4" width="15.109375" customWidth="1"/>
    <col min="7" max="10" width="10.6640625" customWidth="1"/>
  </cols>
  <sheetData>
    <row r="1" spans="1:11" x14ac:dyDescent="0.3">
      <c r="A1" s="30" t="s">
        <v>0</v>
      </c>
      <c r="B1" s="31" t="s">
        <v>1</v>
      </c>
      <c r="C1" s="31" t="s">
        <v>2</v>
      </c>
      <c r="D1" s="32" t="s">
        <v>3</v>
      </c>
    </row>
    <row r="2" spans="1:11" ht="15" thickBot="1" x14ac:dyDescent="0.35">
      <c r="A2" s="2">
        <v>45292</v>
      </c>
      <c r="B2" s="1">
        <v>36.4</v>
      </c>
      <c r="C2" s="1">
        <v>3200</v>
      </c>
      <c r="D2" s="1">
        <v>24494.89</v>
      </c>
    </row>
    <row r="3" spans="1:11" x14ac:dyDescent="0.3">
      <c r="A3" s="2">
        <v>45293</v>
      </c>
      <c r="B3" s="1">
        <v>32.1</v>
      </c>
      <c r="C3" s="1">
        <v>2644</v>
      </c>
      <c r="D3" s="1">
        <v>20261.86</v>
      </c>
      <c r="G3" s="74" t="s">
        <v>579</v>
      </c>
      <c r="H3" s="75"/>
      <c r="I3" s="75"/>
      <c r="J3" s="76"/>
    </row>
    <row r="4" spans="1:11" x14ac:dyDescent="0.3">
      <c r="A4" s="2">
        <v>45294</v>
      </c>
      <c r="B4" s="1">
        <v>37.4</v>
      </c>
      <c r="C4" s="1">
        <v>3200</v>
      </c>
      <c r="D4" s="1">
        <v>25000</v>
      </c>
      <c r="G4" s="8"/>
      <c r="H4" s="7" t="s">
        <v>4</v>
      </c>
      <c r="I4" s="77" t="s">
        <v>16</v>
      </c>
      <c r="J4" s="78"/>
    </row>
    <row r="5" spans="1:11" x14ac:dyDescent="0.3">
      <c r="A5" s="2">
        <v>45295</v>
      </c>
      <c r="B5" s="1">
        <v>43.3</v>
      </c>
      <c r="C5" s="1">
        <v>3101</v>
      </c>
      <c r="D5" s="1">
        <v>23202.49</v>
      </c>
      <c r="G5" s="9" t="s">
        <v>5</v>
      </c>
      <c r="H5" s="5">
        <f>AVERAGE(B2:B271)</f>
        <v>32.894814814814836</v>
      </c>
      <c r="I5" s="79" t="s">
        <v>14</v>
      </c>
      <c r="J5" s="80"/>
    </row>
    <row r="6" spans="1:11" x14ac:dyDescent="0.3">
      <c r="A6" s="2">
        <v>45296</v>
      </c>
      <c r="B6" s="1">
        <v>31.4</v>
      </c>
      <c r="C6" s="1">
        <v>2725</v>
      </c>
      <c r="D6" s="1">
        <v>20342.55</v>
      </c>
      <c r="G6" s="9" t="s">
        <v>6</v>
      </c>
      <c r="H6" s="5">
        <f>MEDIAN(B2:B271)</f>
        <v>33.200000000000003</v>
      </c>
      <c r="I6" s="79" t="s">
        <v>15</v>
      </c>
      <c r="J6" s="80"/>
    </row>
    <row r="7" spans="1:11" x14ac:dyDescent="0.3">
      <c r="A7" s="2">
        <v>45297</v>
      </c>
      <c r="B7" s="1">
        <v>31.4</v>
      </c>
      <c r="C7" s="1">
        <v>3014</v>
      </c>
      <c r="D7" s="1">
        <v>23224.69</v>
      </c>
      <c r="G7" s="9" t="s">
        <v>8</v>
      </c>
      <c r="H7" s="5">
        <f>_xlfn.STDEV.S(B2:B271)</f>
        <v>6.4369035770892999</v>
      </c>
      <c r="I7" s="79" t="s">
        <v>10</v>
      </c>
      <c r="J7" s="80"/>
    </row>
    <row r="8" spans="1:11" x14ac:dyDescent="0.3">
      <c r="A8" s="2">
        <v>45298</v>
      </c>
      <c r="B8" s="1">
        <v>43.7</v>
      </c>
      <c r="C8" s="1">
        <v>3145</v>
      </c>
      <c r="D8" s="1">
        <v>22798.71</v>
      </c>
      <c r="G8" s="9" t="s">
        <v>9</v>
      </c>
      <c r="H8" s="5">
        <f>MIN(B2:B271)</f>
        <v>20</v>
      </c>
      <c r="I8" s="79" t="s">
        <v>11</v>
      </c>
      <c r="J8" s="80"/>
    </row>
    <row r="9" spans="1:11" ht="15" thickBot="1" x14ac:dyDescent="0.35">
      <c r="A9" s="2">
        <v>45299</v>
      </c>
      <c r="B9" s="1">
        <v>38.200000000000003</v>
      </c>
      <c r="C9" s="1">
        <v>2903</v>
      </c>
      <c r="D9" s="1">
        <v>23925.65</v>
      </c>
      <c r="G9" s="10" t="s">
        <v>13</v>
      </c>
      <c r="H9" s="11">
        <f>MAX(B2:B271)</f>
        <v>50</v>
      </c>
      <c r="I9" s="72" t="s">
        <v>12</v>
      </c>
      <c r="J9" s="73"/>
    </row>
    <row r="10" spans="1:11" x14ac:dyDescent="0.3">
      <c r="A10" s="2">
        <v>45300</v>
      </c>
      <c r="B10" s="1">
        <v>29.8</v>
      </c>
      <c r="C10" s="1">
        <v>2911</v>
      </c>
      <c r="D10" s="1">
        <v>23148.81</v>
      </c>
      <c r="G10" s="3"/>
      <c r="H10" s="3"/>
      <c r="I10" s="3"/>
    </row>
    <row r="11" spans="1:11" ht="15" thickBot="1" x14ac:dyDescent="0.35">
      <c r="A11" s="2">
        <v>45301</v>
      </c>
      <c r="B11" s="1">
        <v>36.700000000000003</v>
      </c>
      <c r="C11" s="1">
        <v>2923</v>
      </c>
      <c r="D11" s="1">
        <v>23000.54</v>
      </c>
    </row>
    <row r="12" spans="1:11" x14ac:dyDescent="0.3">
      <c r="A12" s="2">
        <v>45302</v>
      </c>
      <c r="B12" s="1">
        <v>29.9</v>
      </c>
      <c r="C12" s="1">
        <v>2921</v>
      </c>
      <c r="D12" s="1">
        <v>21126.28</v>
      </c>
      <c r="G12" s="74" t="s">
        <v>580</v>
      </c>
      <c r="H12" s="75"/>
      <c r="I12" s="75"/>
      <c r="J12" s="75"/>
      <c r="K12" s="76"/>
    </row>
    <row r="13" spans="1:11" x14ac:dyDescent="0.3">
      <c r="A13" s="2">
        <v>45303</v>
      </c>
      <c r="B13" s="1">
        <v>29.9</v>
      </c>
      <c r="C13" s="1">
        <v>3030</v>
      </c>
      <c r="D13" s="1">
        <v>23910.81</v>
      </c>
      <c r="G13" s="18" t="s">
        <v>23</v>
      </c>
      <c r="H13" s="90" t="s">
        <v>16</v>
      </c>
      <c r="I13" s="91"/>
      <c r="J13" s="92"/>
      <c r="K13" s="12" t="s">
        <v>17</v>
      </c>
    </row>
    <row r="14" spans="1:11" x14ac:dyDescent="0.3">
      <c r="A14" s="2">
        <v>45304</v>
      </c>
      <c r="B14" s="1">
        <v>34.6</v>
      </c>
      <c r="C14" s="1">
        <v>3200</v>
      </c>
      <c r="D14" s="1">
        <v>25000</v>
      </c>
      <c r="G14" s="13" t="s">
        <v>18</v>
      </c>
      <c r="H14" s="87" t="s">
        <v>25</v>
      </c>
      <c r="I14" s="88"/>
      <c r="J14" s="89"/>
      <c r="K14" s="15">
        <f>COUNTIFS(B:B,"&gt;=20",B:B,"&lt;25")</f>
        <v>33</v>
      </c>
    </row>
    <row r="15" spans="1:11" x14ac:dyDescent="0.3">
      <c r="A15" s="2">
        <v>45305</v>
      </c>
      <c r="B15" s="1">
        <v>20.100000000000001</v>
      </c>
      <c r="C15" s="1">
        <v>2504</v>
      </c>
      <c r="D15" s="1">
        <v>17196.7</v>
      </c>
      <c r="G15" s="13" t="s">
        <v>19</v>
      </c>
      <c r="H15" s="87" t="s">
        <v>26</v>
      </c>
      <c r="I15" s="88"/>
      <c r="J15" s="89"/>
      <c r="K15" s="15">
        <f>COUNTIFS(B:B,"&gt;=25",B:B,"&lt;30")</f>
        <v>61</v>
      </c>
    </row>
    <row r="16" spans="1:11" x14ac:dyDescent="0.3">
      <c r="A16" s="2">
        <v>45306</v>
      </c>
      <c r="B16" s="1">
        <v>21.4</v>
      </c>
      <c r="C16" s="1">
        <v>3197</v>
      </c>
      <c r="D16" s="1">
        <v>22228.02</v>
      </c>
      <c r="G16" s="13" t="s">
        <v>20</v>
      </c>
      <c r="H16" s="87" t="s">
        <v>27</v>
      </c>
      <c r="I16" s="88"/>
      <c r="J16" s="89"/>
      <c r="K16" s="15">
        <f>COUNTIFS(B:B,"&gt;=30",B:B,"&lt;35")</f>
        <v>72</v>
      </c>
    </row>
    <row r="17" spans="1:15" x14ac:dyDescent="0.3">
      <c r="A17" s="2">
        <v>45307</v>
      </c>
      <c r="B17" s="1">
        <v>29.2</v>
      </c>
      <c r="C17" s="1">
        <v>2498</v>
      </c>
      <c r="D17" s="1">
        <v>19213.560000000001</v>
      </c>
      <c r="G17" s="13" t="s">
        <v>21</v>
      </c>
      <c r="H17" s="87" t="s">
        <v>28</v>
      </c>
      <c r="I17" s="88"/>
      <c r="J17" s="89"/>
      <c r="K17" s="15">
        <f>COUNTIFS(B:B,"&gt;=35",B:B,"&lt;40")</f>
        <v>70</v>
      </c>
    </row>
    <row r="18" spans="1:15" x14ac:dyDescent="0.3">
      <c r="A18" s="2">
        <v>45308</v>
      </c>
      <c r="B18" s="1">
        <v>26.2</v>
      </c>
      <c r="C18" s="1">
        <v>2812</v>
      </c>
      <c r="D18" s="1">
        <v>21262.2</v>
      </c>
      <c r="G18" s="13" t="s">
        <v>22</v>
      </c>
      <c r="H18" s="87" t="s">
        <v>29</v>
      </c>
      <c r="I18" s="88"/>
      <c r="J18" s="89"/>
      <c r="K18" s="15">
        <f>COUNTIFS(B:B,"&gt;=40",B:B,"&lt;45")</f>
        <v>23</v>
      </c>
    </row>
    <row r="19" spans="1:15" ht="15" thickBot="1" x14ac:dyDescent="0.35">
      <c r="A19" s="2">
        <v>45309</v>
      </c>
      <c r="B19" s="1">
        <v>35.1</v>
      </c>
      <c r="C19" s="1">
        <v>3094</v>
      </c>
      <c r="D19" s="1">
        <v>24572.95</v>
      </c>
      <c r="G19" s="14" t="s">
        <v>24</v>
      </c>
      <c r="H19" s="105" t="s">
        <v>30</v>
      </c>
      <c r="I19" s="106"/>
      <c r="J19" s="107"/>
      <c r="K19" s="16">
        <v>11</v>
      </c>
    </row>
    <row r="20" spans="1:15" ht="15" thickBot="1" x14ac:dyDescent="0.35">
      <c r="A20" s="2">
        <v>45310</v>
      </c>
      <c r="B20" s="1">
        <v>26.9</v>
      </c>
      <c r="C20" s="1">
        <v>2909</v>
      </c>
      <c r="D20" s="1">
        <v>20858.45</v>
      </c>
      <c r="J20" s="17" t="s">
        <v>7</v>
      </c>
      <c r="K20" s="19">
        <f>SUM(K14:K19)</f>
        <v>270</v>
      </c>
    </row>
    <row r="21" spans="1:15" x14ac:dyDescent="0.3">
      <c r="A21" s="2">
        <v>45311</v>
      </c>
      <c r="B21" s="1">
        <v>23.5</v>
      </c>
      <c r="C21" s="1">
        <v>2677</v>
      </c>
      <c r="D21" s="1">
        <v>20200.259999999998</v>
      </c>
    </row>
    <row r="22" spans="1:15" ht="15" thickBot="1" x14ac:dyDescent="0.35">
      <c r="A22" s="2">
        <v>45312</v>
      </c>
      <c r="B22" s="1">
        <v>42.9</v>
      </c>
      <c r="C22" s="1">
        <v>3052</v>
      </c>
      <c r="D22" s="1">
        <v>22169.47</v>
      </c>
    </row>
    <row r="23" spans="1:15" ht="15" thickBot="1" x14ac:dyDescent="0.35">
      <c r="A23" s="2">
        <v>45313</v>
      </c>
      <c r="B23" s="1">
        <v>31.5</v>
      </c>
      <c r="C23" s="1">
        <v>2824</v>
      </c>
      <c r="D23" s="1">
        <v>20535.46</v>
      </c>
      <c r="G23" s="93" t="s">
        <v>581</v>
      </c>
      <c r="H23" s="94"/>
      <c r="I23" s="94"/>
      <c r="J23" s="94"/>
      <c r="K23" s="94"/>
      <c r="L23" s="95"/>
    </row>
    <row r="24" spans="1:15" ht="15" customHeight="1" thickBot="1" x14ac:dyDescent="0.35">
      <c r="A24" s="2">
        <v>45314</v>
      </c>
      <c r="B24" s="1">
        <v>33.5</v>
      </c>
      <c r="C24" s="1">
        <v>2834</v>
      </c>
      <c r="D24" s="1">
        <v>20583.419999999998</v>
      </c>
      <c r="G24" s="102"/>
      <c r="H24" s="24" t="s">
        <v>33</v>
      </c>
      <c r="I24" s="25">
        <v>32.89</v>
      </c>
      <c r="J24" s="96"/>
      <c r="K24" s="96"/>
      <c r="L24" s="97"/>
    </row>
    <row r="25" spans="1:15" ht="15.6" customHeight="1" thickTop="1" thickBot="1" x14ac:dyDescent="0.35">
      <c r="A25" s="2">
        <v>45315</v>
      </c>
      <c r="B25" s="1">
        <v>23.4</v>
      </c>
      <c r="C25" s="1">
        <v>2971</v>
      </c>
      <c r="D25" s="1">
        <v>23757.49</v>
      </c>
      <c r="G25" s="103"/>
      <c r="H25" s="23" t="s">
        <v>8</v>
      </c>
      <c r="I25" s="26">
        <v>6.44</v>
      </c>
      <c r="J25" s="98"/>
      <c r="K25" s="98"/>
      <c r="L25" s="99"/>
    </row>
    <row r="26" spans="1:15" ht="15.6" customHeight="1" thickTop="1" thickBot="1" x14ac:dyDescent="0.35">
      <c r="A26" s="2">
        <v>45316</v>
      </c>
      <c r="B26" s="1">
        <v>29.3</v>
      </c>
      <c r="C26" s="1">
        <v>2961</v>
      </c>
      <c r="D26" s="1">
        <v>23113.61</v>
      </c>
      <c r="G26" s="103"/>
      <c r="H26" s="23" t="s">
        <v>31</v>
      </c>
      <c r="I26" s="26">
        <v>28</v>
      </c>
      <c r="J26" s="98"/>
      <c r="K26" s="98"/>
      <c r="L26" s="99"/>
      <c r="O26" s="4"/>
    </row>
    <row r="27" spans="1:15" ht="15.6" customHeight="1" thickTop="1" thickBot="1" x14ac:dyDescent="0.35">
      <c r="A27" s="2">
        <v>45317</v>
      </c>
      <c r="B27" s="1">
        <v>33.700000000000003</v>
      </c>
      <c r="C27" s="1">
        <v>2818</v>
      </c>
      <c r="D27" s="1">
        <v>21429.59</v>
      </c>
      <c r="G27" s="103"/>
      <c r="H27" s="23" t="s">
        <v>32</v>
      </c>
      <c r="I27" s="26">
        <v>42</v>
      </c>
      <c r="J27" s="98"/>
      <c r="K27" s="98"/>
      <c r="L27" s="99"/>
    </row>
    <row r="28" spans="1:15" ht="15.6" customHeight="1" thickTop="1" thickBot="1" x14ac:dyDescent="0.35">
      <c r="A28" s="2">
        <v>45318</v>
      </c>
      <c r="B28" s="1">
        <v>25.2</v>
      </c>
      <c r="C28" s="1">
        <v>3008</v>
      </c>
      <c r="D28" s="1">
        <v>22100.28</v>
      </c>
      <c r="G28" s="104"/>
      <c r="H28" s="86"/>
      <c r="I28" s="86"/>
      <c r="J28" s="100"/>
      <c r="K28" s="100"/>
      <c r="L28" s="101"/>
    </row>
    <row r="29" spans="1:15" x14ac:dyDescent="0.3">
      <c r="A29" s="2">
        <v>45319</v>
      </c>
      <c r="B29" s="1">
        <v>35.5</v>
      </c>
      <c r="C29" s="1">
        <v>3044</v>
      </c>
      <c r="D29" s="1">
        <v>23147.72</v>
      </c>
      <c r="G29" s="83" t="s">
        <v>35</v>
      </c>
      <c r="H29" s="82"/>
      <c r="I29" s="82" t="s">
        <v>16</v>
      </c>
      <c r="J29" s="82"/>
      <c r="K29" s="82"/>
      <c r="L29" s="20" t="s">
        <v>4</v>
      </c>
    </row>
    <row r="30" spans="1:15" x14ac:dyDescent="0.3">
      <c r="A30" s="2">
        <v>45320</v>
      </c>
      <c r="B30" s="1">
        <v>28.9</v>
      </c>
      <c r="C30" s="1">
        <v>3047</v>
      </c>
      <c r="D30" s="1">
        <v>22739.59</v>
      </c>
      <c r="G30" s="84" t="s">
        <v>40</v>
      </c>
      <c r="H30" s="85"/>
      <c r="I30" s="81" t="s">
        <v>37</v>
      </c>
      <c r="J30" s="81"/>
      <c r="K30" s="81"/>
      <c r="L30" s="21">
        <f>_xlfn.NORM.DIST(I27,I24,I25,TRUE)</f>
        <v>0.92140654894994733</v>
      </c>
    </row>
    <row r="31" spans="1:15" x14ac:dyDescent="0.3">
      <c r="A31" s="2">
        <v>45321</v>
      </c>
      <c r="B31" s="1">
        <v>31</v>
      </c>
      <c r="C31" s="1">
        <v>3041</v>
      </c>
      <c r="D31" s="1">
        <v>23874.12</v>
      </c>
      <c r="G31" s="84" t="s">
        <v>41</v>
      </c>
      <c r="H31" s="85"/>
      <c r="I31" s="81" t="s">
        <v>38</v>
      </c>
      <c r="J31" s="81"/>
      <c r="K31" s="81"/>
      <c r="L31" s="21">
        <f>_xlfn.NORM.DIST(I26,I24,I25,TRUE)</f>
        <v>0.22383154398451269</v>
      </c>
    </row>
    <row r="32" spans="1:15" ht="15" thickBot="1" x14ac:dyDescent="0.35">
      <c r="A32" s="2">
        <v>45322</v>
      </c>
      <c r="B32" s="1">
        <v>28.9</v>
      </c>
      <c r="C32" s="1">
        <v>2718</v>
      </c>
      <c r="D32" s="1">
        <v>20355.36</v>
      </c>
      <c r="G32" s="111" t="s">
        <v>34</v>
      </c>
      <c r="H32" s="112"/>
      <c r="I32" s="113" t="s">
        <v>39</v>
      </c>
      <c r="J32" s="113"/>
      <c r="K32" s="113"/>
      <c r="L32" s="22">
        <f>L30-L31</f>
        <v>0.69757500496543468</v>
      </c>
      <c r="O32" s="4"/>
    </row>
    <row r="33" spans="1:12" ht="15" thickBot="1" x14ac:dyDescent="0.35">
      <c r="A33" s="2">
        <v>45323</v>
      </c>
      <c r="B33" s="1">
        <v>45.5</v>
      </c>
      <c r="C33" s="1">
        <v>3021</v>
      </c>
      <c r="D33" s="1">
        <v>21647.37</v>
      </c>
      <c r="G33" s="108"/>
      <c r="H33" s="109"/>
      <c r="I33" s="109"/>
      <c r="J33" s="109"/>
      <c r="K33" s="109"/>
      <c r="L33" s="110"/>
    </row>
    <row r="34" spans="1:12" x14ac:dyDescent="0.3">
      <c r="A34" s="2">
        <v>45324</v>
      </c>
      <c r="B34" s="1">
        <v>32.9</v>
      </c>
      <c r="C34" s="1">
        <v>3093</v>
      </c>
      <c r="D34" s="1">
        <v>22541.54</v>
      </c>
    </row>
    <row r="35" spans="1:12" x14ac:dyDescent="0.3">
      <c r="A35" s="2">
        <v>45325</v>
      </c>
      <c r="B35" s="1">
        <v>25.9</v>
      </c>
      <c r="C35" s="1">
        <v>2960</v>
      </c>
      <c r="D35" s="1">
        <v>22138.65</v>
      </c>
    </row>
    <row r="36" spans="1:12" x14ac:dyDescent="0.3">
      <c r="A36" s="2">
        <v>45326</v>
      </c>
      <c r="B36" s="1">
        <v>38.6</v>
      </c>
      <c r="C36" s="1">
        <v>3024</v>
      </c>
      <c r="D36" s="1">
        <v>23408.99</v>
      </c>
    </row>
    <row r="37" spans="1:12" x14ac:dyDescent="0.3">
      <c r="A37" s="2">
        <v>45327</v>
      </c>
      <c r="B37" s="1">
        <v>24.8</v>
      </c>
      <c r="C37" s="1">
        <v>2845</v>
      </c>
      <c r="D37" s="1">
        <v>21685.99</v>
      </c>
    </row>
    <row r="38" spans="1:12" x14ac:dyDescent="0.3">
      <c r="A38" s="2">
        <v>45328</v>
      </c>
      <c r="B38" s="1">
        <v>34.4</v>
      </c>
      <c r="C38" s="1">
        <v>3200</v>
      </c>
      <c r="D38" s="1">
        <v>23157.24</v>
      </c>
    </row>
    <row r="39" spans="1:12" x14ac:dyDescent="0.3">
      <c r="A39" s="2">
        <v>45329</v>
      </c>
      <c r="B39" s="1">
        <v>20</v>
      </c>
      <c r="C39" s="1">
        <v>2632</v>
      </c>
      <c r="D39" s="1">
        <v>20806.560000000001</v>
      </c>
    </row>
    <row r="40" spans="1:12" x14ac:dyDescent="0.3">
      <c r="A40" s="2">
        <v>45330</v>
      </c>
      <c r="B40" s="1">
        <v>24</v>
      </c>
      <c r="C40" s="1">
        <v>2920</v>
      </c>
      <c r="D40" s="1">
        <v>22030.1</v>
      </c>
    </row>
    <row r="41" spans="1:12" x14ac:dyDescent="0.3">
      <c r="A41" s="2">
        <v>45331</v>
      </c>
      <c r="B41" s="1">
        <v>34.299999999999997</v>
      </c>
      <c r="C41" s="1">
        <v>2924</v>
      </c>
      <c r="D41" s="1">
        <v>21799.33</v>
      </c>
    </row>
    <row r="42" spans="1:12" x14ac:dyDescent="0.3">
      <c r="A42" s="2">
        <v>45332</v>
      </c>
      <c r="B42" s="1">
        <v>38</v>
      </c>
      <c r="C42" s="1">
        <v>2976</v>
      </c>
      <c r="D42" s="1">
        <v>23577.72</v>
      </c>
    </row>
    <row r="43" spans="1:12" x14ac:dyDescent="0.3">
      <c r="A43" s="2">
        <v>45333</v>
      </c>
      <c r="B43" s="1">
        <v>34.200000000000003</v>
      </c>
      <c r="C43" s="1">
        <v>3182</v>
      </c>
      <c r="D43" s="1">
        <v>24029.19</v>
      </c>
    </row>
    <row r="44" spans="1:12" x14ac:dyDescent="0.3">
      <c r="A44" s="2">
        <v>45334</v>
      </c>
      <c r="B44" s="1">
        <v>32.200000000000003</v>
      </c>
      <c r="C44" s="1">
        <v>3098</v>
      </c>
      <c r="D44" s="1">
        <v>21830.9</v>
      </c>
    </row>
    <row r="45" spans="1:12" x14ac:dyDescent="0.3">
      <c r="A45" s="2">
        <v>45335</v>
      </c>
      <c r="B45" s="1">
        <v>31</v>
      </c>
      <c r="C45" s="1">
        <v>3077</v>
      </c>
      <c r="D45" s="1">
        <v>24276.28</v>
      </c>
    </row>
    <row r="46" spans="1:12" x14ac:dyDescent="0.3">
      <c r="A46" s="2">
        <v>45336</v>
      </c>
      <c r="B46" s="1">
        <v>23</v>
      </c>
      <c r="C46" s="1">
        <v>3056</v>
      </c>
      <c r="D46" s="1">
        <v>23421.34</v>
      </c>
    </row>
    <row r="47" spans="1:12" x14ac:dyDescent="0.3">
      <c r="A47" s="2">
        <v>45337</v>
      </c>
      <c r="B47" s="1">
        <v>28.1</v>
      </c>
      <c r="C47" s="1">
        <v>2876</v>
      </c>
      <c r="D47" s="1">
        <v>20855.810000000001</v>
      </c>
    </row>
    <row r="48" spans="1:12" x14ac:dyDescent="0.3">
      <c r="A48" s="2">
        <v>45338</v>
      </c>
      <c r="B48" s="1">
        <v>29.9</v>
      </c>
      <c r="C48" s="1">
        <v>3035</v>
      </c>
      <c r="D48" s="1">
        <v>22295.57</v>
      </c>
    </row>
    <row r="49" spans="1:4" x14ac:dyDescent="0.3">
      <c r="A49" s="2">
        <v>45339</v>
      </c>
      <c r="B49" s="1">
        <v>40.1</v>
      </c>
      <c r="C49" s="1">
        <v>2990</v>
      </c>
      <c r="D49" s="1">
        <v>22856.83</v>
      </c>
    </row>
    <row r="50" spans="1:4" x14ac:dyDescent="0.3">
      <c r="A50" s="2">
        <v>45340</v>
      </c>
      <c r="B50" s="1">
        <v>35.299999999999997</v>
      </c>
      <c r="C50" s="1">
        <v>3045</v>
      </c>
      <c r="D50" s="1">
        <v>23109.69</v>
      </c>
    </row>
    <row r="51" spans="1:4" x14ac:dyDescent="0.3">
      <c r="A51" s="2">
        <v>45341</v>
      </c>
      <c r="B51" s="1">
        <v>21.1</v>
      </c>
      <c r="C51" s="1">
        <v>2740</v>
      </c>
      <c r="D51" s="1">
        <v>20421.82</v>
      </c>
    </row>
    <row r="52" spans="1:4" x14ac:dyDescent="0.3">
      <c r="A52" s="2">
        <v>45342</v>
      </c>
      <c r="B52" s="1">
        <v>35.200000000000003</v>
      </c>
      <c r="C52" s="1">
        <v>2997</v>
      </c>
      <c r="D52" s="1">
        <v>24381.49</v>
      </c>
    </row>
    <row r="53" spans="1:4" x14ac:dyDescent="0.3">
      <c r="A53" s="2">
        <v>45343</v>
      </c>
      <c r="B53" s="1">
        <v>30.4</v>
      </c>
      <c r="C53" s="1">
        <v>3025</v>
      </c>
      <c r="D53" s="1">
        <v>23658.78</v>
      </c>
    </row>
    <row r="54" spans="1:4" x14ac:dyDescent="0.3">
      <c r="A54" s="2">
        <v>45344</v>
      </c>
      <c r="B54" s="1">
        <v>28.4</v>
      </c>
      <c r="C54" s="1">
        <v>2713</v>
      </c>
      <c r="D54" s="1">
        <v>19918.419999999998</v>
      </c>
    </row>
    <row r="55" spans="1:4" x14ac:dyDescent="0.3">
      <c r="A55" s="2">
        <v>45345</v>
      </c>
      <c r="B55" s="1">
        <v>37.1</v>
      </c>
      <c r="C55" s="1">
        <v>3200</v>
      </c>
      <c r="D55" s="1">
        <v>22654.73</v>
      </c>
    </row>
    <row r="56" spans="1:4" x14ac:dyDescent="0.3">
      <c r="A56" s="2">
        <v>45346</v>
      </c>
      <c r="B56" s="1">
        <v>40</v>
      </c>
      <c r="C56" s="1">
        <v>2848</v>
      </c>
      <c r="D56" s="1">
        <v>20777.22</v>
      </c>
    </row>
    <row r="57" spans="1:4" x14ac:dyDescent="0.3">
      <c r="A57" s="2">
        <v>45347</v>
      </c>
      <c r="B57" s="1">
        <v>39.299999999999997</v>
      </c>
      <c r="C57" s="1">
        <v>2796</v>
      </c>
      <c r="D57" s="1">
        <v>22096.89</v>
      </c>
    </row>
    <row r="58" spans="1:4" x14ac:dyDescent="0.3">
      <c r="A58" s="2">
        <v>45348</v>
      </c>
      <c r="B58" s="1">
        <v>27.3</v>
      </c>
      <c r="C58" s="1">
        <v>3092</v>
      </c>
      <c r="D58" s="1">
        <v>21788.82</v>
      </c>
    </row>
    <row r="59" spans="1:4" x14ac:dyDescent="0.3">
      <c r="A59" s="2">
        <v>45349</v>
      </c>
      <c r="B59" s="1">
        <v>30.9</v>
      </c>
      <c r="C59" s="1">
        <v>3072</v>
      </c>
      <c r="D59" s="1">
        <v>23787.439999999999</v>
      </c>
    </row>
    <row r="60" spans="1:4" x14ac:dyDescent="0.3">
      <c r="A60" s="2">
        <v>45350</v>
      </c>
      <c r="B60" s="1">
        <v>35.200000000000003</v>
      </c>
      <c r="C60" s="1">
        <v>3103</v>
      </c>
      <c r="D60" s="1">
        <v>23828.27</v>
      </c>
    </row>
    <row r="61" spans="1:4" x14ac:dyDescent="0.3">
      <c r="A61" s="2">
        <v>45351</v>
      </c>
      <c r="B61" s="1">
        <v>39.6</v>
      </c>
      <c r="C61" s="1">
        <v>3169</v>
      </c>
      <c r="D61" s="1">
        <v>25000</v>
      </c>
    </row>
    <row r="62" spans="1:4" x14ac:dyDescent="0.3">
      <c r="A62" s="2">
        <v>45352</v>
      </c>
      <c r="B62" s="1">
        <v>29.8</v>
      </c>
      <c r="C62" s="1">
        <v>2894</v>
      </c>
      <c r="D62" s="1">
        <v>22397.43</v>
      </c>
    </row>
    <row r="63" spans="1:4" x14ac:dyDescent="0.3">
      <c r="A63" s="2">
        <v>45353</v>
      </c>
      <c r="B63" s="1">
        <v>31.7</v>
      </c>
      <c r="C63" s="1">
        <v>2747</v>
      </c>
      <c r="D63" s="1">
        <v>21303.57</v>
      </c>
    </row>
    <row r="64" spans="1:4" x14ac:dyDescent="0.3">
      <c r="A64" s="2">
        <v>45354</v>
      </c>
      <c r="B64" s="1">
        <v>25.5</v>
      </c>
      <c r="C64" s="1">
        <v>2848</v>
      </c>
      <c r="D64" s="1">
        <v>20028.330000000002</v>
      </c>
    </row>
    <row r="65" spans="1:4" x14ac:dyDescent="0.3">
      <c r="A65" s="2">
        <v>45355</v>
      </c>
      <c r="B65" s="1">
        <v>24.9</v>
      </c>
      <c r="C65" s="1">
        <v>2688</v>
      </c>
      <c r="D65" s="1">
        <v>21817.96</v>
      </c>
    </row>
    <row r="66" spans="1:4" x14ac:dyDescent="0.3">
      <c r="A66" s="2">
        <v>45356</v>
      </c>
      <c r="B66" s="1">
        <v>38.5</v>
      </c>
      <c r="C66" s="1">
        <v>3200</v>
      </c>
      <c r="D66" s="1">
        <v>23597.75</v>
      </c>
    </row>
    <row r="67" spans="1:4" x14ac:dyDescent="0.3">
      <c r="A67" s="2">
        <v>45357</v>
      </c>
      <c r="B67" s="1">
        <v>42.2</v>
      </c>
      <c r="C67" s="1">
        <v>3053</v>
      </c>
      <c r="D67" s="1">
        <v>22322.49</v>
      </c>
    </row>
    <row r="68" spans="1:4" x14ac:dyDescent="0.3">
      <c r="A68" s="2">
        <v>45358</v>
      </c>
      <c r="B68" s="1">
        <v>32.5</v>
      </c>
      <c r="C68" s="1">
        <v>2773</v>
      </c>
      <c r="D68" s="1">
        <v>21411.81</v>
      </c>
    </row>
    <row r="69" spans="1:4" x14ac:dyDescent="0.3">
      <c r="A69" s="2">
        <v>45359</v>
      </c>
      <c r="B69" s="1">
        <v>39.799999999999997</v>
      </c>
      <c r="C69" s="1">
        <v>2982</v>
      </c>
      <c r="D69" s="1">
        <v>21180.16</v>
      </c>
    </row>
    <row r="70" spans="1:4" x14ac:dyDescent="0.3">
      <c r="A70" s="2">
        <v>45360</v>
      </c>
      <c r="B70" s="1">
        <v>35.4</v>
      </c>
      <c r="C70" s="1">
        <v>3064</v>
      </c>
      <c r="D70" s="1">
        <v>21478.2</v>
      </c>
    </row>
    <row r="71" spans="1:4" x14ac:dyDescent="0.3">
      <c r="A71" s="2">
        <v>45361</v>
      </c>
      <c r="B71" s="1">
        <v>28.6</v>
      </c>
      <c r="C71" s="1">
        <v>2767</v>
      </c>
      <c r="D71" s="1">
        <v>20908.150000000001</v>
      </c>
    </row>
    <row r="72" spans="1:4" x14ac:dyDescent="0.3">
      <c r="A72" s="2">
        <v>45362</v>
      </c>
      <c r="B72" s="1">
        <v>35.4</v>
      </c>
      <c r="C72" s="1">
        <v>2817</v>
      </c>
      <c r="D72" s="1">
        <v>21245.27</v>
      </c>
    </row>
    <row r="73" spans="1:4" x14ac:dyDescent="0.3">
      <c r="A73" s="2">
        <v>45363</v>
      </c>
      <c r="B73" s="1">
        <v>43.4</v>
      </c>
      <c r="C73" s="1">
        <v>3149</v>
      </c>
      <c r="D73" s="1">
        <v>23678.080000000002</v>
      </c>
    </row>
    <row r="74" spans="1:4" x14ac:dyDescent="0.3">
      <c r="A74" s="2">
        <v>45364</v>
      </c>
      <c r="B74" s="1">
        <v>32.799999999999997</v>
      </c>
      <c r="C74" s="1">
        <v>2990</v>
      </c>
      <c r="D74" s="1">
        <v>22987.56</v>
      </c>
    </row>
    <row r="75" spans="1:4" x14ac:dyDescent="0.3">
      <c r="A75" s="2">
        <v>45365</v>
      </c>
      <c r="B75" s="1">
        <v>43.6</v>
      </c>
      <c r="C75" s="1">
        <v>3002</v>
      </c>
      <c r="D75" s="1">
        <v>22760.37</v>
      </c>
    </row>
    <row r="76" spans="1:4" x14ac:dyDescent="0.3">
      <c r="A76" s="2">
        <v>45366</v>
      </c>
      <c r="B76" s="1">
        <v>20</v>
      </c>
      <c r="C76" s="1">
        <v>2656</v>
      </c>
      <c r="D76" s="1">
        <v>20036.03</v>
      </c>
    </row>
    <row r="77" spans="1:4" x14ac:dyDescent="0.3">
      <c r="A77" s="2">
        <v>45367</v>
      </c>
      <c r="B77" s="1">
        <v>38.5</v>
      </c>
      <c r="C77" s="1">
        <v>3075</v>
      </c>
      <c r="D77" s="1">
        <v>22088.84</v>
      </c>
    </row>
    <row r="78" spans="1:4" x14ac:dyDescent="0.3">
      <c r="A78" s="2">
        <v>45368</v>
      </c>
      <c r="B78" s="1">
        <v>33.6</v>
      </c>
      <c r="C78" s="1">
        <v>2664</v>
      </c>
      <c r="D78" s="1">
        <v>19623.939999999999</v>
      </c>
    </row>
    <row r="79" spans="1:4" x14ac:dyDescent="0.3">
      <c r="A79" s="2">
        <v>45369</v>
      </c>
      <c r="B79" s="1">
        <v>31</v>
      </c>
      <c r="C79" s="1">
        <v>2633</v>
      </c>
      <c r="D79" s="1">
        <v>20715.96</v>
      </c>
    </row>
    <row r="80" spans="1:4" x14ac:dyDescent="0.3">
      <c r="A80" s="2">
        <v>45370</v>
      </c>
      <c r="B80" s="1">
        <v>33.6</v>
      </c>
      <c r="C80" s="1">
        <v>2811</v>
      </c>
      <c r="D80" s="1">
        <v>21292.18</v>
      </c>
    </row>
    <row r="81" spans="1:4" x14ac:dyDescent="0.3">
      <c r="A81" s="2">
        <v>45371</v>
      </c>
      <c r="B81" s="1">
        <v>20</v>
      </c>
      <c r="C81" s="1">
        <v>2707</v>
      </c>
      <c r="D81" s="1">
        <v>20371.509999999998</v>
      </c>
    </row>
    <row r="82" spans="1:4" x14ac:dyDescent="0.3">
      <c r="A82" s="2">
        <v>45372</v>
      </c>
      <c r="B82" s="1">
        <v>31.5</v>
      </c>
      <c r="C82" s="1">
        <v>2985</v>
      </c>
      <c r="D82" s="1">
        <v>21712.73</v>
      </c>
    </row>
    <row r="83" spans="1:4" x14ac:dyDescent="0.3">
      <c r="A83" s="2">
        <v>45373</v>
      </c>
      <c r="B83" s="1">
        <v>35.4</v>
      </c>
      <c r="C83" s="1">
        <v>3200</v>
      </c>
      <c r="D83" s="1">
        <v>25000</v>
      </c>
    </row>
    <row r="84" spans="1:4" x14ac:dyDescent="0.3">
      <c r="A84" s="2">
        <v>45374</v>
      </c>
      <c r="B84" s="1">
        <v>43</v>
      </c>
      <c r="C84" s="1">
        <v>3200</v>
      </c>
      <c r="D84" s="1">
        <v>22973.95</v>
      </c>
    </row>
    <row r="85" spans="1:4" x14ac:dyDescent="0.3">
      <c r="A85" s="2">
        <v>45375</v>
      </c>
      <c r="B85" s="1">
        <v>29.5</v>
      </c>
      <c r="C85" s="1">
        <v>2861</v>
      </c>
      <c r="D85" s="1">
        <v>21950.43</v>
      </c>
    </row>
    <row r="86" spans="1:4" x14ac:dyDescent="0.3">
      <c r="A86" s="2">
        <v>45376</v>
      </c>
      <c r="B86" s="1">
        <v>27.5</v>
      </c>
      <c r="C86" s="1">
        <v>2859</v>
      </c>
      <c r="D86" s="1">
        <v>21603.919999999998</v>
      </c>
    </row>
    <row r="87" spans="1:4" x14ac:dyDescent="0.3">
      <c r="A87" s="2">
        <v>45377</v>
      </c>
      <c r="B87" s="1">
        <v>29.6</v>
      </c>
      <c r="C87" s="1">
        <v>2694</v>
      </c>
      <c r="D87" s="1">
        <v>21732.91</v>
      </c>
    </row>
    <row r="88" spans="1:4" x14ac:dyDescent="0.3">
      <c r="A88" s="2">
        <v>45378</v>
      </c>
      <c r="B88" s="1">
        <v>39.200000000000003</v>
      </c>
      <c r="C88" s="1">
        <v>3034</v>
      </c>
      <c r="D88" s="1">
        <v>20974.080000000002</v>
      </c>
    </row>
    <row r="89" spans="1:4" x14ac:dyDescent="0.3">
      <c r="A89" s="2">
        <v>45379</v>
      </c>
      <c r="B89" s="1">
        <v>35.200000000000003</v>
      </c>
      <c r="C89" s="1">
        <v>2921</v>
      </c>
      <c r="D89" s="1">
        <v>22728.98</v>
      </c>
    </row>
    <row r="90" spans="1:4" x14ac:dyDescent="0.3">
      <c r="A90" s="2">
        <v>45380</v>
      </c>
      <c r="B90" s="1">
        <v>29.4</v>
      </c>
      <c r="C90" s="1">
        <v>2956</v>
      </c>
      <c r="D90" s="1">
        <v>23135.77</v>
      </c>
    </row>
    <row r="91" spans="1:4" x14ac:dyDescent="0.3">
      <c r="A91" s="2">
        <v>45381</v>
      </c>
      <c r="B91" s="1">
        <v>36.5</v>
      </c>
      <c r="C91" s="1">
        <v>2832</v>
      </c>
      <c r="D91" s="1">
        <v>21146.720000000001</v>
      </c>
    </row>
    <row r="92" spans="1:4" x14ac:dyDescent="0.3">
      <c r="A92" s="2">
        <v>45382</v>
      </c>
      <c r="B92" s="1">
        <v>33.700000000000003</v>
      </c>
      <c r="C92" s="1">
        <v>3059</v>
      </c>
      <c r="D92" s="1">
        <v>23225.360000000001</v>
      </c>
    </row>
    <row r="93" spans="1:4" x14ac:dyDescent="0.3">
      <c r="A93" s="2">
        <v>45383</v>
      </c>
      <c r="B93" s="1">
        <v>39.5</v>
      </c>
      <c r="C93" s="1">
        <v>3200</v>
      </c>
      <c r="D93" s="1">
        <v>25000</v>
      </c>
    </row>
    <row r="94" spans="1:4" x14ac:dyDescent="0.3">
      <c r="A94" s="2">
        <v>45384</v>
      </c>
      <c r="B94" s="1">
        <v>28.3</v>
      </c>
      <c r="C94" s="1">
        <v>2852</v>
      </c>
      <c r="D94" s="1">
        <v>22691.3</v>
      </c>
    </row>
    <row r="95" spans="1:4" x14ac:dyDescent="0.3">
      <c r="A95" s="2">
        <v>45385</v>
      </c>
      <c r="B95" s="1">
        <v>30.8</v>
      </c>
      <c r="C95" s="1">
        <v>2992</v>
      </c>
      <c r="D95" s="1">
        <v>21115.02</v>
      </c>
    </row>
    <row r="96" spans="1:4" x14ac:dyDescent="0.3">
      <c r="A96" s="2">
        <v>45386</v>
      </c>
      <c r="B96" s="1">
        <v>30.4</v>
      </c>
      <c r="C96" s="1">
        <v>3043</v>
      </c>
      <c r="D96" s="1">
        <v>22638.47</v>
      </c>
    </row>
    <row r="97" spans="1:4" x14ac:dyDescent="0.3">
      <c r="A97" s="2">
        <v>45387</v>
      </c>
      <c r="B97" s="1">
        <v>23.1</v>
      </c>
      <c r="C97" s="1">
        <v>2717</v>
      </c>
      <c r="D97" s="1">
        <v>20903.150000000001</v>
      </c>
    </row>
    <row r="98" spans="1:4" x14ac:dyDescent="0.3">
      <c r="A98" s="2">
        <v>45388</v>
      </c>
      <c r="B98" s="1">
        <v>35</v>
      </c>
      <c r="C98" s="1">
        <v>3020</v>
      </c>
      <c r="D98" s="1">
        <v>22144.76</v>
      </c>
    </row>
    <row r="99" spans="1:4" x14ac:dyDescent="0.3">
      <c r="A99" s="2">
        <v>45389</v>
      </c>
      <c r="B99" s="1">
        <v>34.799999999999997</v>
      </c>
      <c r="C99" s="1">
        <v>2974</v>
      </c>
      <c r="D99" s="1">
        <v>23324.65</v>
      </c>
    </row>
    <row r="100" spans="1:4" x14ac:dyDescent="0.3">
      <c r="A100" s="2">
        <v>45390</v>
      </c>
      <c r="B100" s="1">
        <v>33</v>
      </c>
      <c r="C100" s="1">
        <v>2965</v>
      </c>
      <c r="D100" s="1">
        <v>23626.86</v>
      </c>
    </row>
    <row r="101" spans="1:4" x14ac:dyDescent="0.3">
      <c r="A101" s="2">
        <v>45391</v>
      </c>
      <c r="B101" s="1">
        <v>31.4</v>
      </c>
      <c r="C101" s="1">
        <v>2767</v>
      </c>
      <c r="D101" s="1">
        <v>21172.18</v>
      </c>
    </row>
    <row r="102" spans="1:4" x14ac:dyDescent="0.3">
      <c r="A102" s="2">
        <v>45392</v>
      </c>
      <c r="B102" s="1">
        <v>23.4</v>
      </c>
      <c r="C102" s="1">
        <v>2807</v>
      </c>
      <c r="D102" s="1">
        <v>21688.26</v>
      </c>
    </row>
    <row r="103" spans="1:4" x14ac:dyDescent="0.3">
      <c r="A103" s="2">
        <v>45393</v>
      </c>
      <c r="B103" s="1">
        <v>30.2</v>
      </c>
      <c r="C103" s="1">
        <v>3002</v>
      </c>
      <c r="D103" s="1">
        <v>22251.88</v>
      </c>
    </row>
    <row r="104" spans="1:4" x14ac:dyDescent="0.3">
      <c r="A104" s="2">
        <v>45394</v>
      </c>
      <c r="B104" s="1">
        <v>30.7</v>
      </c>
      <c r="C104" s="1">
        <v>3200</v>
      </c>
      <c r="D104" s="1">
        <v>25000</v>
      </c>
    </row>
    <row r="105" spans="1:4" x14ac:dyDescent="0.3">
      <c r="A105" s="2">
        <v>45395</v>
      </c>
      <c r="B105" s="1">
        <v>27.6</v>
      </c>
      <c r="C105" s="1">
        <v>3056</v>
      </c>
      <c r="D105" s="1">
        <v>23761.82</v>
      </c>
    </row>
    <row r="106" spans="1:4" x14ac:dyDescent="0.3">
      <c r="A106" s="2">
        <v>45396</v>
      </c>
      <c r="B106" s="1">
        <v>31.9</v>
      </c>
      <c r="C106" s="1">
        <v>3200</v>
      </c>
      <c r="D106" s="1">
        <v>22941.85</v>
      </c>
    </row>
    <row r="107" spans="1:4" x14ac:dyDescent="0.3">
      <c r="A107" s="2">
        <v>45397</v>
      </c>
      <c r="B107" s="1">
        <v>35.700000000000003</v>
      </c>
      <c r="C107" s="1">
        <v>2832</v>
      </c>
      <c r="D107" s="1">
        <v>22599.05</v>
      </c>
    </row>
    <row r="108" spans="1:4" x14ac:dyDescent="0.3">
      <c r="A108" s="2">
        <v>45398</v>
      </c>
      <c r="B108" s="1">
        <v>45.7</v>
      </c>
      <c r="C108" s="1">
        <v>3200</v>
      </c>
      <c r="D108" s="1">
        <v>25000</v>
      </c>
    </row>
    <row r="109" spans="1:4" x14ac:dyDescent="0.3">
      <c r="A109" s="2">
        <v>45399</v>
      </c>
      <c r="B109" s="1">
        <v>34.200000000000003</v>
      </c>
      <c r="C109" s="1">
        <v>2999</v>
      </c>
      <c r="D109" s="1">
        <v>23554.1</v>
      </c>
    </row>
    <row r="110" spans="1:4" x14ac:dyDescent="0.3">
      <c r="A110" s="2">
        <v>45400</v>
      </c>
      <c r="B110" s="1">
        <v>34.700000000000003</v>
      </c>
      <c r="C110" s="1">
        <v>3200</v>
      </c>
      <c r="D110" s="1">
        <v>24203.61</v>
      </c>
    </row>
    <row r="111" spans="1:4" x14ac:dyDescent="0.3">
      <c r="A111" s="2">
        <v>45401</v>
      </c>
      <c r="B111" s="1">
        <v>32.5</v>
      </c>
      <c r="C111" s="1">
        <v>2776</v>
      </c>
      <c r="D111" s="1">
        <v>20140.48</v>
      </c>
    </row>
    <row r="112" spans="1:4" x14ac:dyDescent="0.3">
      <c r="A112" s="2">
        <v>45402</v>
      </c>
      <c r="B112" s="1">
        <v>20</v>
      </c>
      <c r="C112" s="1">
        <v>2583</v>
      </c>
      <c r="D112" s="1">
        <v>17532.79</v>
      </c>
    </row>
    <row r="113" spans="1:4" x14ac:dyDescent="0.3">
      <c r="A113" s="2">
        <v>45403</v>
      </c>
      <c r="B113" s="1">
        <v>32.799999999999997</v>
      </c>
      <c r="C113" s="1">
        <v>2822</v>
      </c>
      <c r="D113" s="1">
        <v>20334.46</v>
      </c>
    </row>
    <row r="114" spans="1:4" x14ac:dyDescent="0.3">
      <c r="A114" s="2">
        <v>45404</v>
      </c>
      <c r="B114" s="1">
        <v>33.4</v>
      </c>
      <c r="C114" s="1">
        <v>2526</v>
      </c>
      <c r="D114" s="1">
        <v>19693.439999999999</v>
      </c>
    </row>
    <row r="115" spans="1:4" x14ac:dyDescent="0.3">
      <c r="A115" s="2">
        <v>45405</v>
      </c>
      <c r="B115" s="1">
        <v>49.6</v>
      </c>
      <c r="C115" s="1">
        <v>3089</v>
      </c>
      <c r="D115" s="1">
        <v>22534.59</v>
      </c>
    </row>
    <row r="116" spans="1:4" x14ac:dyDescent="0.3">
      <c r="A116" s="2">
        <v>45406</v>
      </c>
      <c r="B116" s="1">
        <v>31.7</v>
      </c>
      <c r="C116" s="1">
        <v>2774</v>
      </c>
      <c r="D116" s="1">
        <v>20084.32</v>
      </c>
    </row>
    <row r="117" spans="1:4" x14ac:dyDescent="0.3">
      <c r="A117" s="2">
        <v>45407</v>
      </c>
      <c r="B117" s="1">
        <v>35</v>
      </c>
      <c r="C117" s="1">
        <v>3006</v>
      </c>
      <c r="D117" s="1">
        <v>22350.79</v>
      </c>
    </row>
    <row r="118" spans="1:4" x14ac:dyDescent="0.3">
      <c r="A118" s="2">
        <v>45408</v>
      </c>
      <c r="B118" s="1">
        <v>32.799999999999997</v>
      </c>
      <c r="C118" s="1">
        <v>3010</v>
      </c>
      <c r="D118" s="1">
        <v>22679.35</v>
      </c>
    </row>
    <row r="119" spans="1:4" x14ac:dyDescent="0.3">
      <c r="A119" s="2">
        <v>45409</v>
      </c>
      <c r="B119" s="1">
        <v>25.1</v>
      </c>
      <c r="C119" s="1">
        <v>3200</v>
      </c>
      <c r="D119" s="1">
        <v>25000</v>
      </c>
    </row>
    <row r="120" spans="1:4" x14ac:dyDescent="0.3">
      <c r="A120" s="2">
        <v>45410</v>
      </c>
      <c r="B120" s="1">
        <v>40.700000000000003</v>
      </c>
      <c r="C120" s="1">
        <v>3200</v>
      </c>
      <c r="D120" s="1">
        <v>24771.77</v>
      </c>
    </row>
    <row r="121" spans="1:4" x14ac:dyDescent="0.3">
      <c r="A121" s="2">
        <v>45411</v>
      </c>
      <c r="B121" s="1">
        <v>38.1</v>
      </c>
      <c r="C121" s="1">
        <v>2906</v>
      </c>
      <c r="D121" s="1">
        <v>21084.81</v>
      </c>
    </row>
    <row r="122" spans="1:4" x14ac:dyDescent="0.3">
      <c r="A122" s="2">
        <v>45412</v>
      </c>
      <c r="B122" s="1">
        <v>38.299999999999997</v>
      </c>
      <c r="C122" s="1">
        <v>2845</v>
      </c>
      <c r="D122" s="1">
        <v>21768.47</v>
      </c>
    </row>
    <row r="123" spans="1:4" x14ac:dyDescent="0.3">
      <c r="A123" s="2">
        <v>45413</v>
      </c>
      <c r="B123" s="1">
        <v>26.9</v>
      </c>
      <c r="C123" s="1">
        <v>2951</v>
      </c>
      <c r="D123" s="1">
        <v>22513.58</v>
      </c>
    </row>
    <row r="124" spans="1:4" x14ac:dyDescent="0.3">
      <c r="A124" s="2">
        <v>45414</v>
      </c>
      <c r="B124" s="1">
        <v>42.5</v>
      </c>
      <c r="C124" s="1">
        <v>2823</v>
      </c>
      <c r="D124" s="1">
        <v>20736.009999999998</v>
      </c>
    </row>
    <row r="125" spans="1:4" x14ac:dyDescent="0.3">
      <c r="A125" s="2">
        <v>45415</v>
      </c>
      <c r="B125" s="1">
        <v>23.5</v>
      </c>
      <c r="C125" s="1">
        <v>3169</v>
      </c>
      <c r="D125" s="1">
        <v>24540.13</v>
      </c>
    </row>
    <row r="126" spans="1:4" x14ac:dyDescent="0.3">
      <c r="A126" s="2">
        <v>45416</v>
      </c>
      <c r="B126" s="1">
        <v>37</v>
      </c>
      <c r="C126" s="1">
        <v>3200</v>
      </c>
      <c r="D126" s="1">
        <v>23142.71</v>
      </c>
    </row>
    <row r="127" spans="1:4" x14ac:dyDescent="0.3">
      <c r="A127" s="2">
        <v>45417</v>
      </c>
      <c r="B127" s="1">
        <v>47.8</v>
      </c>
      <c r="C127" s="1">
        <v>3073</v>
      </c>
      <c r="D127" s="1">
        <v>21873.39</v>
      </c>
    </row>
    <row r="128" spans="1:4" x14ac:dyDescent="0.3">
      <c r="A128" s="2">
        <v>45418</v>
      </c>
      <c r="B128" s="1">
        <v>26.3</v>
      </c>
      <c r="C128" s="1">
        <v>2502</v>
      </c>
      <c r="D128" s="1">
        <v>19056.240000000002</v>
      </c>
    </row>
    <row r="129" spans="1:4" x14ac:dyDescent="0.3">
      <c r="A129" s="2">
        <v>45419</v>
      </c>
      <c r="B129" s="1">
        <v>29.2</v>
      </c>
      <c r="C129" s="1">
        <v>3158</v>
      </c>
      <c r="D129" s="1">
        <v>23983.32</v>
      </c>
    </row>
    <row r="130" spans="1:4" x14ac:dyDescent="0.3">
      <c r="A130" s="2">
        <v>45420</v>
      </c>
      <c r="B130" s="1">
        <v>33.700000000000003</v>
      </c>
      <c r="C130" s="1">
        <v>2932</v>
      </c>
      <c r="D130" s="1">
        <v>23616.57</v>
      </c>
    </row>
    <row r="131" spans="1:4" x14ac:dyDescent="0.3">
      <c r="A131" s="2">
        <v>45421</v>
      </c>
      <c r="B131" s="1">
        <v>29.6</v>
      </c>
      <c r="C131" s="1">
        <v>3142</v>
      </c>
      <c r="D131" s="1">
        <v>23386.28</v>
      </c>
    </row>
    <row r="132" spans="1:4" x14ac:dyDescent="0.3">
      <c r="A132" s="2">
        <v>45422</v>
      </c>
      <c r="B132" s="1">
        <v>22.5</v>
      </c>
      <c r="C132" s="1">
        <v>2469</v>
      </c>
      <c r="D132" s="1">
        <v>19249.810000000001</v>
      </c>
    </row>
    <row r="133" spans="1:4" x14ac:dyDescent="0.3">
      <c r="A133" s="2">
        <v>45423</v>
      </c>
      <c r="B133" s="1">
        <v>33.5</v>
      </c>
      <c r="C133" s="1">
        <v>2832</v>
      </c>
      <c r="D133" s="1">
        <v>22199.22</v>
      </c>
    </row>
    <row r="134" spans="1:4" x14ac:dyDescent="0.3">
      <c r="A134" s="2">
        <v>45424</v>
      </c>
      <c r="B134" s="1">
        <v>25.8</v>
      </c>
      <c r="C134" s="1">
        <v>2838</v>
      </c>
      <c r="D134" s="1">
        <v>20594.240000000002</v>
      </c>
    </row>
    <row r="135" spans="1:4" x14ac:dyDescent="0.3">
      <c r="A135" s="2">
        <v>45425</v>
      </c>
      <c r="B135" s="1">
        <v>36.200000000000003</v>
      </c>
      <c r="C135" s="1">
        <v>3002</v>
      </c>
      <c r="D135" s="1">
        <v>23330.29</v>
      </c>
    </row>
    <row r="136" spans="1:4" x14ac:dyDescent="0.3">
      <c r="A136" s="2">
        <v>45426</v>
      </c>
      <c r="B136" s="1">
        <v>26.8</v>
      </c>
      <c r="C136" s="1">
        <v>2762</v>
      </c>
      <c r="D136" s="1">
        <v>19742.18</v>
      </c>
    </row>
    <row r="137" spans="1:4" x14ac:dyDescent="0.3">
      <c r="A137" s="2">
        <v>45427</v>
      </c>
      <c r="B137" s="1">
        <v>43.5</v>
      </c>
      <c r="C137" s="1">
        <v>3200</v>
      </c>
      <c r="D137" s="1">
        <v>25000</v>
      </c>
    </row>
    <row r="138" spans="1:4" x14ac:dyDescent="0.3">
      <c r="A138" s="2">
        <v>45428</v>
      </c>
      <c r="B138" s="1">
        <v>27.7</v>
      </c>
      <c r="C138" s="1">
        <v>2652</v>
      </c>
      <c r="D138" s="1">
        <v>19561.509999999998</v>
      </c>
    </row>
    <row r="139" spans="1:4" x14ac:dyDescent="0.3">
      <c r="A139" s="2">
        <v>45429</v>
      </c>
      <c r="B139" s="1">
        <v>30.8</v>
      </c>
      <c r="C139" s="1">
        <v>2884</v>
      </c>
      <c r="D139" s="1">
        <v>20975.31</v>
      </c>
    </row>
    <row r="140" spans="1:4" x14ac:dyDescent="0.3">
      <c r="A140" s="2">
        <v>45430</v>
      </c>
      <c r="B140" s="1">
        <v>38.5</v>
      </c>
      <c r="C140" s="1">
        <v>3051</v>
      </c>
      <c r="D140" s="1">
        <v>21801.74</v>
      </c>
    </row>
    <row r="141" spans="1:4" x14ac:dyDescent="0.3">
      <c r="A141" s="2">
        <v>45431</v>
      </c>
      <c r="B141" s="1">
        <v>24.7</v>
      </c>
      <c r="C141" s="1">
        <v>2923</v>
      </c>
      <c r="D141" s="1">
        <v>23178.19</v>
      </c>
    </row>
    <row r="142" spans="1:4" x14ac:dyDescent="0.3">
      <c r="A142" s="2">
        <v>45432</v>
      </c>
      <c r="B142" s="1">
        <v>34.5</v>
      </c>
      <c r="C142" s="1">
        <v>3110</v>
      </c>
      <c r="D142" s="1">
        <v>23346.2</v>
      </c>
    </row>
    <row r="143" spans="1:4" x14ac:dyDescent="0.3">
      <c r="A143" s="2">
        <v>45433</v>
      </c>
      <c r="B143" s="1">
        <v>41.8</v>
      </c>
      <c r="C143" s="1">
        <v>2852</v>
      </c>
      <c r="D143" s="1">
        <v>22301.26</v>
      </c>
    </row>
    <row r="144" spans="1:4" x14ac:dyDescent="0.3">
      <c r="A144" s="2">
        <v>45434</v>
      </c>
      <c r="B144" s="1">
        <v>22.1</v>
      </c>
      <c r="C144" s="1">
        <v>2475</v>
      </c>
      <c r="D144" s="1">
        <v>17586.560000000001</v>
      </c>
    </row>
    <row r="145" spans="1:4" x14ac:dyDescent="0.3">
      <c r="A145" s="2">
        <v>45435</v>
      </c>
      <c r="B145" s="1">
        <v>34.200000000000003</v>
      </c>
      <c r="C145" s="1">
        <v>3200</v>
      </c>
      <c r="D145" s="1">
        <v>24823.09</v>
      </c>
    </row>
    <row r="146" spans="1:4" x14ac:dyDescent="0.3">
      <c r="A146" s="2">
        <v>45436</v>
      </c>
      <c r="B146" s="1">
        <v>34.799999999999997</v>
      </c>
      <c r="C146" s="1">
        <v>3038</v>
      </c>
      <c r="D146" s="1">
        <v>21223.77</v>
      </c>
    </row>
    <row r="147" spans="1:4" x14ac:dyDescent="0.3">
      <c r="A147" s="2">
        <v>45437</v>
      </c>
      <c r="B147" s="1">
        <v>38.299999999999997</v>
      </c>
      <c r="C147" s="1">
        <v>2874</v>
      </c>
      <c r="D147" s="1">
        <v>23072.13</v>
      </c>
    </row>
    <row r="148" spans="1:4" x14ac:dyDescent="0.3">
      <c r="A148" s="2">
        <v>45438</v>
      </c>
      <c r="B148" s="1">
        <v>24.7</v>
      </c>
      <c r="C148" s="1">
        <v>3130</v>
      </c>
      <c r="D148" s="1">
        <v>22874.83</v>
      </c>
    </row>
    <row r="149" spans="1:4" x14ac:dyDescent="0.3">
      <c r="A149" s="2">
        <v>45439</v>
      </c>
      <c r="B149" s="1">
        <v>24.1</v>
      </c>
      <c r="C149" s="1">
        <v>2834</v>
      </c>
      <c r="D149" s="1">
        <v>21460.04</v>
      </c>
    </row>
    <row r="150" spans="1:4" x14ac:dyDescent="0.3">
      <c r="A150" s="2">
        <v>45440</v>
      </c>
      <c r="B150" s="1">
        <v>36.5</v>
      </c>
      <c r="C150" s="1">
        <v>3200</v>
      </c>
      <c r="D150" s="1">
        <v>22363.07</v>
      </c>
    </row>
    <row r="151" spans="1:4" x14ac:dyDescent="0.3">
      <c r="A151" s="2">
        <v>45441</v>
      </c>
      <c r="B151" s="1">
        <v>35</v>
      </c>
      <c r="C151" s="1">
        <v>2989</v>
      </c>
      <c r="D151" s="1">
        <v>22443.58</v>
      </c>
    </row>
    <row r="152" spans="1:4" x14ac:dyDescent="0.3">
      <c r="A152" s="2">
        <v>45442</v>
      </c>
      <c r="B152" s="1">
        <v>34.700000000000003</v>
      </c>
      <c r="C152" s="1">
        <v>3200</v>
      </c>
      <c r="D152" s="1">
        <v>24332.18</v>
      </c>
    </row>
    <row r="153" spans="1:4" x14ac:dyDescent="0.3">
      <c r="A153" s="2">
        <v>45443</v>
      </c>
      <c r="B153" s="1">
        <v>35.299999999999997</v>
      </c>
      <c r="C153" s="1">
        <v>3200</v>
      </c>
      <c r="D153" s="1">
        <v>23398.99</v>
      </c>
    </row>
    <row r="154" spans="1:4" x14ac:dyDescent="0.3">
      <c r="A154" s="2">
        <v>45444</v>
      </c>
      <c r="B154" s="1">
        <v>28.4</v>
      </c>
      <c r="C154" s="1">
        <v>2826</v>
      </c>
      <c r="D154" s="1">
        <v>21925.99</v>
      </c>
    </row>
    <row r="155" spans="1:4" x14ac:dyDescent="0.3">
      <c r="A155" s="2">
        <v>45445</v>
      </c>
      <c r="B155" s="1">
        <v>34.6</v>
      </c>
      <c r="C155" s="1">
        <v>3163</v>
      </c>
      <c r="D155" s="1">
        <v>23714.26</v>
      </c>
    </row>
    <row r="156" spans="1:4" x14ac:dyDescent="0.3">
      <c r="A156" s="2">
        <v>45446</v>
      </c>
      <c r="B156" s="1">
        <v>35</v>
      </c>
      <c r="C156" s="1">
        <v>3104</v>
      </c>
      <c r="D156" s="1">
        <v>23659.66</v>
      </c>
    </row>
    <row r="157" spans="1:4" x14ac:dyDescent="0.3">
      <c r="A157" s="2">
        <v>45447</v>
      </c>
      <c r="B157" s="1">
        <v>28.2</v>
      </c>
      <c r="C157" s="1">
        <v>3146</v>
      </c>
      <c r="D157" s="1">
        <v>23501.94</v>
      </c>
    </row>
    <row r="158" spans="1:4" x14ac:dyDescent="0.3">
      <c r="A158" s="2">
        <v>45448</v>
      </c>
      <c r="B158" s="1">
        <v>45.6</v>
      </c>
      <c r="C158" s="1">
        <v>2941</v>
      </c>
      <c r="D158" s="1">
        <v>21542.43</v>
      </c>
    </row>
    <row r="159" spans="1:4" x14ac:dyDescent="0.3">
      <c r="A159" s="2">
        <v>45449</v>
      </c>
      <c r="B159" s="1">
        <v>36.200000000000003</v>
      </c>
      <c r="C159" s="1">
        <v>3130</v>
      </c>
      <c r="D159" s="1">
        <v>23758.720000000001</v>
      </c>
    </row>
    <row r="160" spans="1:4" x14ac:dyDescent="0.3">
      <c r="A160" s="2">
        <v>45450</v>
      </c>
      <c r="B160" s="1">
        <v>25</v>
      </c>
      <c r="C160" s="1">
        <v>3036</v>
      </c>
      <c r="D160" s="1">
        <v>22260.13</v>
      </c>
    </row>
    <row r="161" spans="1:4" x14ac:dyDescent="0.3">
      <c r="A161" s="2">
        <v>45451</v>
      </c>
      <c r="B161" s="1">
        <v>37.4</v>
      </c>
      <c r="C161" s="1">
        <v>2660</v>
      </c>
      <c r="D161" s="1">
        <v>18590.669999999998</v>
      </c>
    </row>
    <row r="162" spans="1:4" x14ac:dyDescent="0.3">
      <c r="A162" s="2">
        <v>45452</v>
      </c>
      <c r="B162" s="1">
        <v>26.4</v>
      </c>
      <c r="C162" s="1">
        <v>2610</v>
      </c>
      <c r="D162" s="1">
        <v>20585.75</v>
      </c>
    </row>
    <row r="163" spans="1:4" x14ac:dyDescent="0.3">
      <c r="A163" s="2">
        <v>45453</v>
      </c>
      <c r="B163" s="1">
        <v>38.299999999999997</v>
      </c>
      <c r="C163" s="1">
        <v>2617</v>
      </c>
      <c r="D163" s="1">
        <v>20444.919999999998</v>
      </c>
    </row>
    <row r="164" spans="1:4" x14ac:dyDescent="0.3">
      <c r="A164" s="2">
        <v>45454</v>
      </c>
      <c r="B164" s="1">
        <v>40.799999999999997</v>
      </c>
      <c r="C164" s="1">
        <v>3008</v>
      </c>
      <c r="D164" s="1">
        <v>22776.44</v>
      </c>
    </row>
    <row r="165" spans="1:4" x14ac:dyDescent="0.3">
      <c r="A165" s="2">
        <v>45455</v>
      </c>
      <c r="B165" s="1">
        <v>27.5</v>
      </c>
      <c r="C165" s="1">
        <v>3005</v>
      </c>
      <c r="D165" s="1">
        <v>21086.99</v>
      </c>
    </row>
    <row r="166" spans="1:4" x14ac:dyDescent="0.3">
      <c r="A166" s="2">
        <v>45456</v>
      </c>
      <c r="B166" s="1">
        <v>39.5</v>
      </c>
      <c r="C166" s="1">
        <v>3200</v>
      </c>
      <c r="D166" s="1">
        <v>24181.34</v>
      </c>
    </row>
    <row r="167" spans="1:4" x14ac:dyDescent="0.3">
      <c r="A167" s="2">
        <v>45457</v>
      </c>
      <c r="B167" s="1">
        <v>35.799999999999997</v>
      </c>
      <c r="C167" s="1">
        <v>3002</v>
      </c>
      <c r="D167" s="1">
        <v>22429.63</v>
      </c>
    </row>
    <row r="168" spans="1:4" x14ac:dyDescent="0.3">
      <c r="A168" s="2">
        <v>45458</v>
      </c>
      <c r="B168" s="1">
        <v>38.5</v>
      </c>
      <c r="C168" s="1">
        <v>3200</v>
      </c>
      <c r="D168" s="1">
        <v>23264</v>
      </c>
    </row>
    <row r="169" spans="1:4" x14ac:dyDescent="0.3">
      <c r="A169" s="2">
        <v>45459</v>
      </c>
      <c r="B169" s="1">
        <v>45.8</v>
      </c>
      <c r="C169" s="1">
        <v>2861</v>
      </c>
      <c r="D169" s="1">
        <v>20440.88</v>
      </c>
    </row>
    <row r="170" spans="1:4" x14ac:dyDescent="0.3">
      <c r="A170" s="2">
        <v>45460</v>
      </c>
      <c r="B170" s="1">
        <v>31.3</v>
      </c>
      <c r="C170" s="1">
        <v>2579</v>
      </c>
      <c r="D170" s="1">
        <v>19621.89</v>
      </c>
    </row>
    <row r="171" spans="1:4" x14ac:dyDescent="0.3">
      <c r="A171" s="2">
        <v>45461</v>
      </c>
      <c r="B171" s="1">
        <v>27.9</v>
      </c>
      <c r="C171" s="1">
        <v>2858</v>
      </c>
      <c r="D171" s="1">
        <v>22829.78</v>
      </c>
    </row>
    <row r="172" spans="1:4" x14ac:dyDescent="0.3">
      <c r="A172" s="2">
        <v>45462</v>
      </c>
      <c r="B172" s="1">
        <v>27</v>
      </c>
      <c r="C172" s="1">
        <v>2932</v>
      </c>
      <c r="D172" s="1">
        <v>19879.439999999999</v>
      </c>
    </row>
    <row r="173" spans="1:4" x14ac:dyDescent="0.3">
      <c r="A173" s="2">
        <v>45463</v>
      </c>
      <c r="B173" s="1">
        <v>27.5</v>
      </c>
      <c r="C173" s="1">
        <v>2856</v>
      </c>
      <c r="D173" s="1">
        <v>19526.55</v>
      </c>
    </row>
    <row r="174" spans="1:4" x14ac:dyDescent="0.3">
      <c r="A174" s="2">
        <v>45464</v>
      </c>
      <c r="B174" s="1">
        <v>32.5</v>
      </c>
      <c r="C174" s="1">
        <v>2524</v>
      </c>
      <c r="D174" s="1">
        <v>18471.240000000002</v>
      </c>
    </row>
    <row r="175" spans="1:4" x14ac:dyDescent="0.3">
      <c r="A175" s="2">
        <v>45465</v>
      </c>
      <c r="B175" s="1">
        <v>35.299999999999997</v>
      </c>
      <c r="C175" s="1">
        <v>2962</v>
      </c>
      <c r="D175" s="1">
        <v>22473.119999999999</v>
      </c>
    </row>
    <row r="176" spans="1:4" x14ac:dyDescent="0.3">
      <c r="A176" s="2">
        <v>45466</v>
      </c>
      <c r="B176" s="1">
        <v>34.9</v>
      </c>
      <c r="C176" s="1">
        <v>2712</v>
      </c>
      <c r="D176" s="1">
        <v>18526.84</v>
      </c>
    </row>
    <row r="177" spans="1:4" x14ac:dyDescent="0.3">
      <c r="A177" s="2">
        <v>45467</v>
      </c>
      <c r="B177" s="1">
        <v>38.6</v>
      </c>
      <c r="C177" s="1">
        <v>3163</v>
      </c>
      <c r="D177" s="1">
        <v>22824.47</v>
      </c>
    </row>
    <row r="178" spans="1:4" x14ac:dyDescent="0.3">
      <c r="A178" s="2">
        <v>45468</v>
      </c>
      <c r="B178" s="1">
        <v>33.1</v>
      </c>
      <c r="C178" s="1">
        <v>3020</v>
      </c>
      <c r="D178" s="1">
        <v>23677.65</v>
      </c>
    </row>
    <row r="179" spans="1:4" x14ac:dyDescent="0.3">
      <c r="A179" s="2">
        <v>45469</v>
      </c>
      <c r="B179" s="1">
        <v>42.8</v>
      </c>
      <c r="C179" s="1">
        <v>2904</v>
      </c>
      <c r="D179" s="1">
        <v>20564.45</v>
      </c>
    </row>
    <row r="180" spans="1:4" x14ac:dyDescent="0.3">
      <c r="A180" s="2">
        <v>45470</v>
      </c>
      <c r="B180" s="1">
        <v>31.2</v>
      </c>
      <c r="C180" s="1">
        <v>2815</v>
      </c>
      <c r="D180" s="1">
        <v>20902.330000000002</v>
      </c>
    </row>
    <row r="181" spans="1:4" x14ac:dyDescent="0.3">
      <c r="A181" s="2">
        <v>45471</v>
      </c>
      <c r="B181" s="1">
        <v>50</v>
      </c>
      <c r="C181" s="1">
        <v>2988</v>
      </c>
      <c r="D181" s="1">
        <v>22063.919999999998</v>
      </c>
    </row>
    <row r="182" spans="1:4" x14ac:dyDescent="0.3">
      <c r="A182" s="2">
        <v>45472</v>
      </c>
      <c r="B182" s="1">
        <v>37.200000000000003</v>
      </c>
      <c r="C182" s="1">
        <v>2996</v>
      </c>
      <c r="D182" s="1">
        <v>21595.03</v>
      </c>
    </row>
    <row r="183" spans="1:4" x14ac:dyDescent="0.3">
      <c r="A183" s="2">
        <v>45473</v>
      </c>
      <c r="B183" s="1">
        <v>27.2</v>
      </c>
      <c r="C183" s="1">
        <v>3049</v>
      </c>
      <c r="D183" s="1">
        <v>22034.84</v>
      </c>
    </row>
    <row r="184" spans="1:4" x14ac:dyDescent="0.3">
      <c r="A184" s="2">
        <v>45474</v>
      </c>
      <c r="B184" s="1">
        <v>25.8</v>
      </c>
      <c r="C184" s="1">
        <v>2639</v>
      </c>
      <c r="D184" s="1">
        <v>21302.38</v>
      </c>
    </row>
    <row r="185" spans="1:4" x14ac:dyDescent="0.3">
      <c r="A185" s="2">
        <v>45475</v>
      </c>
      <c r="B185" s="1">
        <v>36.299999999999997</v>
      </c>
      <c r="C185" s="1">
        <v>3095</v>
      </c>
      <c r="D185" s="1">
        <v>23778.34</v>
      </c>
    </row>
    <row r="186" spans="1:4" x14ac:dyDescent="0.3">
      <c r="A186" s="2">
        <v>45476</v>
      </c>
      <c r="B186" s="1">
        <v>31.5</v>
      </c>
      <c r="C186" s="1">
        <v>2816</v>
      </c>
      <c r="D186" s="1">
        <v>21287.14</v>
      </c>
    </row>
    <row r="187" spans="1:4" x14ac:dyDescent="0.3">
      <c r="A187" s="2">
        <v>45477</v>
      </c>
      <c r="B187" s="1">
        <v>37.799999999999997</v>
      </c>
      <c r="C187" s="1">
        <v>2859</v>
      </c>
      <c r="D187" s="1">
        <v>20802.59</v>
      </c>
    </row>
    <row r="188" spans="1:4" x14ac:dyDescent="0.3">
      <c r="A188" s="2">
        <v>45478</v>
      </c>
      <c r="B188" s="1">
        <v>36.200000000000003</v>
      </c>
      <c r="C188" s="1">
        <v>2972</v>
      </c>
      <c r="D188" s="1">
        <v>22766.76</v>
      </c>
    </row>
    <row r="189" spans="1:4" x14ac:dyDescent="0.3">
      <c r="A189" s="2">
        <v>45479</v>
      </c>
      <c r="B189" s="1">
        <v>32.5</v>
      </c>
      <c r="C189" s="1">
        <v>2731</v>
      </c>
      <c r="D189" s="1">
        <v>19798.48</v>
      </c>
    </row>
    <row r="190" spans="1:4" x14ac:dyDescent="0.3">
      <c r="A190" s="2">
        <v>45480</v>
      </c>
      <c r="B190" s="1">
        <v>27.3</v>
      </c>
      <c r="C190" s="1">
        <v>2749</v>
      </c>
      <c r="D190" s="1">
        <v>19928.25</v>
      </c>
    </row>
    <row r="191" spans="1:4" x14ac:dyDescent="0.3">
      <c r="A191" s="2">
        <v>45481</v>
      </c>
      <c r="B191" s="1">
        <v>22.8</v>
      </c>
      <c r="C191" s="1">
        <v>2552</v>
      </c>
      <c r="D191" s="1">
        <v>20327.48</v>
      </c>
    </row>
    <row r="192" spans="1:4" x14ac:dyDescent="0.3">
      <c r="A192" s="2">
        <v>45482</v>
      </c>
      <c r="B192" s="1">
        <v>30</v>
      </c>
      <c r="C192" s="1">
        <v>3200</v>
      </c>
      <c r="D192" s="1">
        <v>21815.84</v>
      </c>
    </row>
    <row r="193" spans="1:4" x14ac:dyDescent="0.3">
      <c r="A193" s="2">
        <v>45483</v>
      </c>
      <c r="B193" s="1">
        <v>38.799999999999997</v>
      </c>
      <c r="C193" s="1">
        <v>3039</v>
      </c>
      <c r="D193" s="1">
        <v>22254.74</v>
      </c>
    </row>
    <row r="194" spans="1:4" x14ac:dyDescent="0.3">
      <c r="A194" s="2">
        <v>45484</v>
      </c>
      <c r="B194" s="1">
        <v>34.4</v>
      </c>
      <c r="C194" s="1">
        <v>2827</v>
      </c>
      <c r="D194" s="1">
        <v>20335.62</v>
      </c>
    </row>
    <row r="195" spans="1:4" x14ac:dyDescent="0.3">
      <c r="A195" s="2">
        <v>45485</v>
      </c>
      <c r="B195" s="1">
        <v>24.6</v>
      </c>
      <c r="C195" s="1">
        <v>2862</v>
      </c>
      <c r="D195" s="1">
        <v>20668.580000000002</v>
      </c>
    </row>
    <row r="196" spans="1:4" x14ac:dyDescent="0.3">
      <c r="A196" s="2">
        <v>45486</v>
      </c>
      <c r="B196" s="1">
        <v>34.200000000000003</v>
      </c>
      <c r="C196" s="1">
        <v>2940</v>
      </c>
      <c r="D196" s="1">
        <v>21284.78</v>
      </c>
    </row>
    <row r="197" spans="1:4" x14ac:dyDescent="0.3">
      <c r="A197" s="2">
        <v>45487</v>
      </c>
      <c r="B197" s="1">
        <v>35.6</v>
      </c>
      <c r="C197" s="1">
        <v>2940</v>
      </c>
      <c r="D197" s="1">
        <v>22522.52</v>
      </c>
    </row>
    <row r="198" spans="1:4" x14ac:dyDescent="0.3">
      <c r="A198" s="2">
        <v>45488</v>
      </c>
      <c r="B198" s="1">
        <v>27</v>
      </c>
      <c r="C198" s="1">
        <v>2978</v>
      </c>
      <c r="D198" s="1">
        <v>22385.89</v>
      </c>
    </row>
    <row r="199" spans="1:4" x14ac:dyDescent="0.3">
      <c r="A199" s="2">
        <v>45489</v>
      </c>
      <c r="B199" s="1">
        <v>34</v>
      </c>
      <c r="C199" s="1">
        <v>3112</v>
      </c>
      <c r="D199" s="1">
        <v>24785.85</v>
      </c>
    </row>
    <row r="200" spans="1:4" x14ac:dyDescent="0.3">
      <c r="A200" s="2">
        <v>45490</v>
      </c>
      <c r="B200" s="1">
        <v>33.4</v>
      </c>
      <c r="C200" s="1">
        <v>2845</v>
      </c>
      <c r="D200" s="1">
        <v>22561.99</v>
      </c>
    </row>
    <row r="201" spans="1:4" x14ac:dyDescent="0.3">
      <c r="A201" s="2">
        <v>45491</v>
      </c>
      <c r="B201" s="1">
        <v>25.3</v>
      </c>
      <c r="C201" s="1">
        <v>2714</v>
      </c>
      <c r="D201" s="1">
        <v>20590.27</v>
      </c>
    </row>
    <row r="202" spans="1:4" x14ac:dyDescent="0.3">
      <c r="A202" s="2">
        <v>45492</v>
      </c>
      <c r="B202" s="1">
        <v>35.4</v>
      </c>
      <c r="C202" s="1">
        <v>2926</v>
      </c>
      <c r="D202" s="1">
        <v>21339.33</v>
      </c>
    </row>
    <row r="203" spans="1:4" x14ac:dyDescent="0.3">
      <c r="A203" s="2">
        <v>45493</v>
      </c>
      <c r="B203" s="1">
        <v>36.799999999999997</v>
      </c>
      <c r="C203" s="1">
        <v>2541</v>
      </c>
      <c r="D203" s="1">
        <v>19106.3</v>
      </c>
    </row>
    <row r="204" spans="1:4" x14ac:dyDescent="0.3">
      <c r="A204" s="2">
        <v>45494</v>
      </c>
      <c r="B204" s="1">
        <v>40.299999999999997</v>
      </c>
      <c r="C204" s="1">
        <v>2752</v>
      </c>
      <c r="D204" s="1">
        <v>20843.62</v>
      </c>
    </row>
    <row r="205" spans="1:4" x14ac:dyDescent="0.3">
      <c r="A205" s="2">
        <v>45495</v>
      </c>
      <c r="B205" s="1">
        <v>40.1</v>
      </c>
      <c r="C205" s="1">
        <v>3200</v>
      </c>
      <c r="D205" s="1">
        <v>23977.86</v>
      </c>
    </row>
    <row r="206" spans="1:4" x14ac:dyDescent="0.3">
      <c r="A206" s="2">
        <v>45496</v>
      </c>
      <c r="B206" s="1">
        <v>23.7</v>
      </c>
      <c r="C206" s="1">
        <v>3135</v>
      </c>
      <c r="D206" s="1">
        <v>23563.51</v>
      </c>
    </row>
    <row r="207" spans="1:4" x14ac:dyDescent="0.3">
      <c r="A207" s="2">
        <v>45497</v>
      </c>
      <c r="B207" s="1">
        <v>26.7</v>
      </c>
      <c r="C207" s="1">
        <v>2800</v>
      </c>
      <c r="D207" s="1">
        <v>21646.82</v>
      </c>
    </row>
    <row r="208" spans="1:4" x14ac:dyDescent="0.3">
      <c r="A208" s="2">
        <v>45498</v>
      </c>
      <c r="B208" s="1">
        <v>36.5</v>
      </c>
      <c r="C208" s="1">
        <v>3112</v>
      </c>
      <c r="D208" s="1">
        <v>23481.89</v>
      </c>
    </row>
    <row r="209" spans="1:4" x14ac:dyDescent="0.3">
      <c r="A209" s="2">
        <v>45499</v>
      </c>
      <c r="B209" s="1">
        <v>36.5</v>
      </c>
      <c r="C209" s="1">
        <v>3059</v>
      </c>
      <c r="D209" s="1">
        <v>22031.72</v>
      </c>
    </row>
    <row r="210" spans="1:4" x14ac:dyDescent="0.3">
      <c r="A210" s="2">
        <v>45500</v>
      </c>
      <c r="B210" s="1">
        <v>36.5</v>
      </c>
      <c r="C210" s="1">
        <v>3200</v>
      </c>
      <c r="D210" s="1">
        <v>23406.34</v>
      </c>
    </row>
    <row r="211" spans="1:4" x14ac:dyDescent="0.3">
      <c r="A211" s="2">
        <v>45501</v>
      </c>
      <c r="B211" s="1">
        <v>50</v>
      </c>
      <c r="C211" s="1">
        <v>3200</v>
      </c>
      <c r="D211" s="1">
        <v>25000</v>
      </c>
    </row>
    <row r="212" spans="1:4" x14ac:dyDescent="0.3">
      <c r="A212" s="2">
        <v>45502</v>
      </c>
      <c r="B212" s="1">
        <v>36.9</v>
      </c>
      <c r="C212" s="1">
        <v>2977</v>
      </c>
      <c r="D212" s="1">
        <v>23532.58</v>
      </c>
    </row>
    <row r="213" spans="1:4" x14ac:dyDescent="0.3">
      <c r="A213" s="2">
        <v>45503</v>
      </c>
      <c r="B213" s="1">
        <v>40.700000000000003</v>
      </c>
      <c r="C213" s="1">
        <v>2869</v>
      </c>
      <c r="D213" s="1">
        <v>20158.669999999998</v>
      </c>
    </row>
    <row r="214" spans="1:4" x14ac:dyDescent="0.3">
      <c r="A214" s="2">
        <v>45504</v>
      </c>
      <c r="B214" s="1">
        <v>39.4</v>
      </c>
      <c r="C214" s="1">
        <v>2720</v>
      </c>
      <c r="D214" s="1">
        <v>21179.14</v>
      </c>
    </row>
    <row r="215" spans="1:4" x14ac:dyDescent="0.3">
      <c r="A215" s="2">
        <v>45505</v>
      </c>
      <c r="B215" s="1">
        <v>37.4</v>
      </c>
      <c r="C215" s="1">
        <v>3052</v>
      </c>
      <c r="D215" s="1">
        <v>21906.87</v>
      </c>
    </row>
    <row r="216" spans="1:4" x14ac:dyDescent="0.3">
      <c r="A216" s="2">
        <v>45506</v>
      </c>
      <c r="B216" s="1">
        <v>30.9</v>
      </c>
      <c r="C216" s="1">
        <v>2762</v>
      </c>
      <c r="D216" s="1">
        <v>21578.6</v>
      </c>
    </row>
    <row r="217" spans="1:4" x14ac:dyDescent="0.3">
      <c r="A217" s="2">
        <v>45507</v>
      </c>
      <c r="B217" s="1">
        <v>38.1</v>
      </c>
      <c r="C217" s="1">
        <v>2737</v>
      </c>
      <c r="D217" s="1">
        <v>20136.259999999998</v>
      </c>
    </row>
    <row r="218" spans="1:4" x14ac:dyDescent="0.3">
      <c r="A218" s="2">
        <v>45508</v>
      </c>
      <c r="B218" s="1">
        <v>27.8</v>
      </c>
      <c r="C218" s="1">
        <v>2737</v>
      </c>
      <c r="D218" s="1">
        <v>19530.86</v>
      </c>
    </row>
    <row r="219" spans="1:4" x14ac:dyDescent="0.3">
      <c r="A219" s="2">
        <v>45509</v>
      </c>
      <c r="B219" s="1">
        <v>31.4</v>
      </c>
      <c r="C219" s="1">
        <v>2705</v>
      </c>
      <c r="D219" s="1">
        <v>19375.990000000002</v>
      </c>
    </row>
    <row r="220" spans="1:4" x14ac:dyDescent="0.3">
      <c r="A220" s="2">
        <v>45510</v>
      </c>
      <c r="B220" s="1">
        <v>29.7</v>
      </c>
      <c r="C220" s="1">
        <v>3200</v>
      </c>
      <c r="D220" s="1">
        <v>23652.67</v>
      </c>
    </row>
    <row r="221" spans="1:4" x14ac:dyDescent="0.3">
      <c r="A221" s="2">
        <v>45511</v>
      </c>
      <c r="B221" s="1">
        <v>33.6</v>
      </c>
      <c r="C221" s="1">
        <v>3130</v>
      </c>
      <c r="D221" s="1">
        <v>23818.04</v>
      </c>
    </row>
    <row r="222" spans="1:4" x14ac:dyDescent="0.3">
      <c r="A222" s="2">
        <v>45512</v>
      </c>
      <c r="B222" s="1">
        <v>48.6</v>
      </c>
      <c r="C222" s="1">
        <v>3178</v>
      </c>
      <c r="D222" s="1">
        <v>23775.71</v>
      </c>
    </row>
    <row r="223" spans="1:4" x14ac:dyDescent="0.3">
      <c r="A223" s="2">
        <v>45513</v>
      </c>
      <c r="B223" s="1">
        <v>20.399999999999999</v>
      </c>
      <c r="C223" s="1">
        <v>3052</v>
      </c>
      <c r="D223" s="1">
        <v>22127.22</v>
      </c>
    </row>
    <row r="224" spans="1:4" x14ac:dyDescent="0.3">
      <c r="A224" s="2">
        <v>45514</v>
      </c>
      <c r="B224" s="1">
        <v>37.6</v>
      </c>
      <c r="C224" s="1">
        <v>3030</v>
      </c>
      <c r="D224" s="1">
        <v>21630.45</v>
      </c>
    </row>
    <row r="225" spans="1:4" x14ac:dyDescent="0.3">
      <c r="A225" s="2">
        <v>45515</v>
      </c>
      <c r="B225" s="1">
        <v>22.1</v>
      </c>
      <c r="C225" s="1">
        <v>2609</v>
      </c>
      <c r="D225" s="1">
        <v>19862.150000000001</v>
      </c>
    </row>
    <row r="226" spans="1:4" x14ac:dyDescent="0.3">
      <c r="A226" s="2">
        <v>45516</v>
      </c>
      <c r="B226" s="1">
        <v>29.8</v>
      </c>
      <c r="C226" s="1">
        <v>3200</v>
      </c>
      <c r="D226" s="1">
        <v>25000</v>
      </c>
    </row>
    <row r="227" spans="1:4" x14ac:dyDescent="0.3">
      <c r="A227" s="2">
        <v>45517</v>
      </c>
      <c r="B227" s="1">
        <v>40.4</v>
      </c>
      <c r="C227" s="1">
        <v>3163</v>
      </c>
      <c r="D227" s="1">
        <v>24242.44</v>
      </c>
    </row>
    <row r="228" spans="1:4" x14ac:dyDescent="0.3">
      <c r="A228" s="2">
        <v>45518</v>
      </c>
      <c r="B228" s="1">
        <v>33.4</v>
      </c>
      <c r="C228" s="1">
        <v>2744</v>
      </c>
      <c r="D228" s="1">
        <v>19568.61</v>
      </c>
    </row>
    <row r="229" spans="1:4" x14ac:dyDescent="0.3">
      <c r="A229" s="2">
        <v>45519</v>
      </c>
      <c r="B229" s="1">
        <v>25.7</v>
      </c>
      <c r="C229" s="1">
        <v>2798</v>
      </c>
      <c r="D229" s="1">
        <v>20361.36</v>
      </c>
    </row>
    <row r="230" spans="1:4" x14ac:dyDescent="0.3">
      <c r="A230" s="2">
        <v>45520</v>
      </c>
      <c r="B230" s="1">
        <v>28.2</v>
      </c>
      <c r="C230" s="1">
        <v>2697</v>
      </c>
      <c r="D230" s="1">
        <v>19032.79</v>
      </c>
    </row>
    <row r="231" spans="1:4" x14ac:dyDescent="0.3">
      <c r="A231" s="2">
        <v>45521</v>
      </c>
      <c r="B231" s="1">
        <v>37.6</v>
      </c>
      <c r="C231" s="1">
        <v>2737</v>
      </c>
      <c r="D231" s="1">
        <v>20640.57</v>
      </c>
    </row>
    <row r="232" spans="1:4" x14ac:dyDescent="0.3">
      <c r="A232" s="2">
        <v>45522</v>
      </c>
      <c r="B232" s="1">
        <v>28.1</v>
      </c>
      <c r="C232" s="1">
        <v>3056</v>
      </c>
      <c r="D232" s="1">
        <v>21628.26</v>
      </c>
    </row>
    <row r="233" spans="1:4" x14ac:dyDescent="0.3">
      <c r="A233" s="2">
        <v>45523</v>
      </c>
      <c r="B233" s="1">
        <v>34.5</v>
      </c>
      <c r="C233" s="1">
        <v>3200</v>
      </c>
      <c r="D233" s="1">
        <v>23903.86</v>
      </c>
    </row>
    <row r="234" spans="1:4" x14ac:dyDescent="0.3">
      <c r="A234" s="2">
        <v>45524</v>
      </c>
      <c r="B234" s="1">
        <v>33.299999999999997</v>
      </c>
      <c r="C234" s="1">
        <v>2670</v>
      </c>
      <c r="D234" s="1">
        <v>18920.919999999998</v>
      </c>
    </row>
    <row r="235" spans="1:4" x14ac:dyDescent="0.3">
      <c r="A235" s="2">
        <v>45525</v>
      </c>
      <c r="B235" s="1">
        <v>28.6</v>
      </c>
      <c r="C235" s="1">
        <v>2992</v>
      </c>
      <c r="D235" s="1">
        <v>22461.55</v>
      </c>
    </row>
    <row r="236" spans="1:4" x14ac:dyDescent="0.3">
      <c r="A236" s="2">
        <v>45526</v>
      </c>
      <c r="B236" s="1">
        <v>47.5</v>
      </c>
      <c r="C236" s="1">
        <v>3032</v>
      </c>
      <c r="D236" s="1">
        <v>24097.95</v>
      </c>
    </row>
    <row r="237" spans="1:4" x14ac:dyDescent="0.3">
      <c r="A237" s="2">
        <v>45527</v>
      </c>
      <c r="B237" s="1">
        <v>37.299999999999997</v>
      </c>
      <c r="C237" s="1">
        <v>2912</v>
      </c>
      <c r="D237" s="1">
        <v>23120.63</v>
      </c>
    </row>
    <row r="238" spans="1:4" x14ac:dyDescent="0.3">
      <c r="A238" s="2">
        <v>45528</v>
      </c>
      <c r="B238" s="1">
        <v>20</v>
      </c>
      <c r="C238" s="1">
        <v>2632</v>
      </c>
      <c r="D238" s="1">
        <v>18681.71</v>
      </c>
    </row>
    <row r="239" spans="1:4" x14ac:dyDescent="0.3">
      <c r="A239" s="2">
        <v>45529</v>
      </c>
      <c r="B239" s="1">
        <v>34.299999999999997</v>
      </c>
      <c r="C239" s="1">
        <v>2791</v>
      </c>
      <c r="D239" s="1">
        <v>19853.98</v>
      </c>
    </row>
    <row r="240" spans="1:4" x14ac:dyDescent="0.3">
      <c r="A240" s="2">
        <v>45530</v>
      </c>
      <c r="B240" s="1">
        <v>28.5</v>
      </c>
      <c r="C240" s="1">
        <v>2888</v>
      </c>
      <c r="D240" s="1">
        <v>21311</v>
      </c>
    </row>
    <row r="241" spans="1:4" x14ac:dyDescent="0.3">
      <c r="A241" s="2">
        <v>45531</v>
      </c>
      <c r="B241" s="1">
        <v>38.799999999999997</v>
      </c>
      <c r="C241" s="1">
        <v>2865</v>
      </c>
      <c r="D241" s="1">
        <v>23095.87</v>
      </c>
    </row>
    <row r="242" spans="1:4" x14ac:dyDescent="0.3">
      <c r="A242" s="2">
        <v>45532</v>
      </c>
      <c r="B242" s="1">
        <v>27.7</v>
      </c>
      <c r="C242" s="1">
        <v>2919</v>
      </c>
      <c r="D242" s="1">
        <v>23013.7</v>
      </c>
    </row>
    <row r="243" spans="1:4" x14ac:dyDescent="0.3">
      <c r="A243" s="2">
        <v>45533</v>
      </c>
      <c r="B243" s="1">
        <v>32.200000000000003</v>
      </c>
      <c r="C243" s="1">
        <v>2923</v>
      </c>
      <c r="D243" s="1">
        <v>21883.77</v>
      </c>
    </row>
    <row r="244" spans="1:4" x14ac:dyDescent="0.3">
      <c r="A244" s="2">
        <v>45534</v>
      </c>
      <c r="B244" s="1">
        <v>36.4</v>
      </c>
      <c r="C244" s="1">
        <v>2948</v>
      </c>
      <c r="D244" s="1">
        <v>22755.439999999999</v>
      </c>
    </row>
    <row r="245" spans="1:4" x14ac:dyDescent="0.3">
      <c r="A245" s="2">
        <v>45535</v>
      </c>
      <c r="B245" s="1">
        <v>38.799999999999997</v>
      </c>
      <c r="C245" s="1">
        <v>2851</v>
      </c>
      <c r="D245" s="1">
        <v>22049.759999999998</v>
      </c>
    </row>
    <row r="246" spans="1:4" x14ac:dyDescent="0.3">
      <c r="A246" s="2">
        <v>45536</v>
      </c>
      <c r="B246" s="1">
        <v>24.9</v>
      </c>
      <c r="C246" s="1">
        <v>2708</v>
      </c>
      <c r="D246" s="1">
        <v>19878.5</v>
      </c>
    </row>
    <row r="247" spans="1:4" x14ac:dyDescent="0.3">
      <c r="A247" s="2">
        <v>45537</v>
      </c>
      <c r="B247" s="1">
        <v>30.7</v>
      </c>
      <c r="C247" s="1">
        <v>3062</v>
      </c>
      <c r="D247" s="1">
        <v>24551.52</v>
      </c>
    </row>
    <row r="248" spans="1:4" x14ac:dyDescent="0.3">
      <c r="A248" s="2">
        <v>45538</v>
      </c>
      <c r="B248" s="1">
        <v>29.8</v>
      </c>
      <c r="C248" s="1">
        <v>2997</v>
      </c>
      <c r="D248" s="1">
        <v>22758.83</v>
      </c>
    </row>
    <row r="249" spans="1:4" x14ac:dyDescent="0.3">
      <c r="A249" s="2">
        <v>45539</v>
      </c>
      <c r="B249" s="1">
        <v>28.6</v>
      </c>
      <c r="C249" s="1">
        <v>2683</v>
      </c>
      <c r="D249" s="1">
        <v>19541.34</v>
      </c>
    </row>
    <row r="250" spans="1:4" x14ac:dyDescent="0.3">
      <c r="A250" s="2">
        <v>45540</v>
      </c>
      <c r="B250" s="1">
        <v>44.9</v>
      </c>
      <c r="C250" s="1">
        <v>3144</v>
      </c>
      <c r="D250" s="1">
        <v>24298.17</v>
      </c>
    </row>
    <row r="251" spans="1:4" x14ac:dyDescent="0.3">
      <c r="A251" s="2">
        <v>45541</v>
      </c>
      <c r="B251" s="1">
        <v>35.700000000000003</v>
      </c>
      <c r="C251" s="1">
        <v>3136</v>
      </c>
      <c r="D251" s="1">
        <v>22198.09</v>
      </c>
    </row>
    <row r="252" spans="1:4" x14ac:dyDescent="0.3">
      <c r="A252" s="2">
        <v>45542</v>
      </c>
      <c r="B252" s="1">
        <v>24.5</v>
      </c>
      <c r="C252" s="1">
        <v>2483</v>
      </c>
      <c r="D252" s="1">
        <v>18831.509999999998</v>
      </c>
    </row>
    <row r="253" spans="1:4" x14ac:dyDescent="0.3">
      <c r="A253" s="2">
        <v>45543</v>
      </c>
      <c r="B253" s="1">
        <v>39.200000000000003</v>
      </c>
      <c r="C253" s="1">
        <v>3147</v>
      </c>
      <c r="D253" s="1">
        <v>24007</v>
      </c>
    </row>
    <row r="254" spans="1:4" x14ac:dyDescent="0.3">
      <c r="A254" s="2">
        <v>45544</v>
      </c>
      <c r="B254" s="1">
        <v>47.3</v>
      </c>
      <c r="C254" s="1">
        <v>3027</v>
      </c>
      <c r="D254" s="1">
        <v>22307.61</v>
      </c>
    </row>
    <row r="255" spans="1:4" x14ac:dyDescent="0.3">
      <c r="A255" s="2">
        <v>45545</v>
      </c>
      <c r="B255" s="1">
        <v>40</v>
      </c>
      <c r="C255" s="1">
        <v>3164</v>
      </c>
      <c r="D255" s="1">
        <v>24155.33</v>
      </c>
    </row>
    <row r="256" spans="1:4" x14ac:dyDescent="0.3">
      <c r="A256" s="2">
        <v>45546</v>
      </c>
      <c r="B256" s="1">
        <v>22.7</v>
      </c>
      <c r="C256" s="1">
        <v>2639</v>
      </c>
      <c r="D256" s="1">
        <v>18794.77</v>
      </c>
    </row>
    <row r="257" spans="1:4" x14ac:dyDescent="0.3">
      <c r="A257" s="2">
        <v>45547</v>
      </c>
      <c r="B257" s="1">
        <v>29.7</v>
      </c>
      <c r="C257" s="1">
        <v>2535</v>
      </c>
      <c r="D257" s="1">
        <v>18489.919999999998</v>
      </c>
    </row>
    <row r="258" spans="1:4" x14ac:dyDescent="0.3">
      <c r="A258" s="2">
        <v>45548</v>
      </c>
      <c r="B258" s="1">
        <v>41.6</v>
      </c>
      <c r="C258" s="1">
        <v>2748</v>
      </c>
      <c r="D258" s="1">
        <v>19869.16</v>
      </c>
    </row>
    <row r="259" spans="1:4" x14ac:dyDescent="0.3">
      <c r="A259" s="2">
        <v>45549</v>
      </c>
      <c r="B259" s="1">
        <v>28.2</v>
      </c>
      <c r="C259" s="1">
        <v>2883</v>
      </c>
      <c r="D259" s="1">
        <v>21418.49</v>
      </c>
    </row>
    <row r="260" spans="1:4" x14ac:dyDescent="0.3">
      <c r="A260" s="2">
        <v>45550</v>
      </c>
      <c r="B260" s="1">
        <v>36</v>
      </c>
      <c r="C260" s="1">
        <v>3042</v>
      </c>
      <c r="D260" s="1">
        <v>23742.76</v>
      </c>
    </row>
    <row r="261" spans="1:4" x14ac:dyDescent="0.3">
      <c r="A261" s="2">
        <v>45551</v>
      </c>
      <c r="B261" s="1">
        <v>38.200000000000003</v>
      </c>
      <c r="C261" s="1">
        <v>2843</v>
      </c>
      <c r="D261" s="1">
        <v>20458.87</v>
      </c>
    </row>
    <row r="262" spans="1:4" x14ac:dyDescent="0.3">
      <c r="A262" s="2">
        <v>45552</v>
      </c>
      <c r="B262" s="1">
        <v>26.7</v>
      </c>
      <c r="C262" s="1">
        <v>2979</v>
      </c>
      <c r="D262" s="1">
        <v>22528.14</v>
      </c>
    </row>
    <row r="263" spans="1:4" x14ac:dyDescent="0.3">
      <c r="A263" s="2">
        <v>45553</v>
      </c>
      <c r="B263" s="1">
        <v>32.6</v>
      </c>
      <c r="C263" s="1">
        <v>2607</v>
      </c>
      <c r="D263" s="1">
        <v>20561.2</v>
      </c>
    </row>
    <row r="264" spans="1:4" x14ac:dyDescent="0.3">
      <c r="A264" s="2">
        <v>45554</v>
      </c>
      <c r="B264" s="1">
        <v>20</v>
      </c>
      <c r="C264" s="1">
        <v>2737</v>
      </c>
      <c r="D264" s="1">
        <v>21839.24</v>
      </c>
    </row>
    <row r="265" spans="1:4" x14ac:dyDescent="0.3">
      <c r="A265" s="2">
        <v>45555</v>
      </c>
      <c r="B265" s="1">
        <v>26.1</v>
      </c>
      <c r="C265" s="1">
        <v>2599</v>
      </c>
      <c r="D265" s="1">
        <v>20845.98</v>
      </c>
    </row>
    <row r="266" spans="1:4" x14ac:dyDescent="0.3">
      <c r="A266" s="2">
        <v>45556</v>
      </c>
      <c r="B266" s="1">
        <v>31.3</v>
      </c>
      <c r="C266" s="1">
        <v>2789</v>
      </c>
      <c r="D266" s="1">
        <v>21585.15</v>
      </c>
    </row>
    <row r="267" spans="1:4" x14ac:dyDescent="0.3">
      <c r="A267" s="2">
        <v>45557</v>
      </c>
      <c r="B267" s="1">
        <v>24.6</v>
      </c>
      <c r="C267" s="1">
        <v>2828</v>
      </c>
      <c r="D267" s="1">
        <v>20463.87</v>
      </c>
    </row>
    <row r="268" spans="1:4" x14ac:dyDescent="0.3">
      <c r="A268" s="2">
        <v>45558</v>
      </c>
      <c r="B268" s="1">
        <v>44</v>
      </c>
      <c r="C268" s="1">
        <v>2938</v>
      </c>
      <c r="D268" s="1">
        <v>20964.38</v>
      </c>
    </row>
    <row r="269" spans="1:4" x14ac:dyDescent="0.3">
      <c r="A269" s="2">
        <v>45559</v>
      </c>
      <c r="B269" s="1">
        <v>23.3</v>
      </c>
      <c r="C269" s="1">
        <v>2723</v>
      </c>
      <c r="D269" s="1">
        <v>19263.75</v>
      </c>
    </row>
    <row r="270" spans="1:4" x14ac:dyDescent="0.3">
      <c r="A270" s="2">
        <v>45560</v>
      </c>
      <c r="B270" s="1">
        <v>30</v>
      </c>
      <c r="C270" s="1">
        <v>3102</v>
      </c>
      <c r="D270" s="1">
        <v>23431.24</v>
      </c>
    </row>
    <row r="271" spans="1:4" x14ac:dyDescent="0.3">
      <c r="A271" s="2">
        <v>45561</v>
      </c>
      <c r="B271" s="1">
        <v>33.9</v>
      </c>
      <c r="C271" s="1">
        <v>2843</v>
      </c>
      <c r="D271" s="1">
        <v>19212.91</v>
      </c>
    </row>
  </sheetData>
  <mergeCells count="28">
    <mergeCell ref="G33:L33"/>
    <mergeCell ref="G31:H31"/>
    <mergeCell ref="I31:K31"/>
    <mergeCell ref="G32:H32"/>
    <mergeCell ref="I32:K32"/>
    <mergeCell ref="G12:K12"/>
    <mergeCell ref="I30:K30"/>
    <mergeCell ref="I29:K29"/>
    <mergeCell ref="G29:H29"/>
    <mergeCell ref="G30:H30"/>
    <mergeCell ref="H28:I28"/>
    <mergeCell ref="H14:J14"/>
    <mergeCell ref="H15:J15"/>
    <mergeCell ref="H13:J13"/>
    <mergeCell ref="H16:J16"/>
    <mergeCell ref="H17:J17"/>
    <mergeCell ref="G23:L23"/>
    <mergeCell ref="J24:L28"/>
    <mergeCell ref="G24:G28"/>
    <mergeCell ref="H18:J18"/>
    <mergeCell ref="H19:J19"/>
    <mergeCell ref="I9:J9"/>
    <mergeCell ref="G3:J3"/>
    <mergeCell ref="I4:J4"/>
    <mergeCell ref="I5:J5"/>
    <mergeCell ref="I6:J6"/>
    <mergeCell ref="I7:J7"/>
    <mergeCell ref="I8:J8"/>
  </mergeCells>
  <conditionalFormatting sqref="I6:I9 G11:G12 G10:H10 G6:G9 G16:G19 G13:H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7"/>
  <sheetViews>
    <sheetView zoomScaleNormal="100" workbookViewId="0">
      <selection activeCell="H12" sqref="H12:J12"/>
    </sheetView>
  </sheetViews>
  <sheetFormatPr defaultRowHeight="14.4" x14ac:dyDescent="0.3"/>
  <cols>
    <col min="1" max="4" width="8.88671875" customWidth="1"/>
  </cols>
  <sheetData>
    <row r="1" spans="3:15" ht="15" thickBot="1" x14ac:dyDescent="0.35"/>
    <row r="2" spans="3:15" ht="15" thickBot="1" x14ac:dyDescent="0.35">
      <c r="C2" s="118" t="s">
        <v>48</v>
      </c>
      <c r="D2" s="119"/>
      <c r="E2" s="119"/>
      <c r="F2" s="120"/>
    </row>
    <row r="3" spans="3:15" x14ac:dyDescent="0.3">
      <c r="C3" s="121" t="s">
        <v>42</v>
      </c>
      <c r="D3" s="122"/>
      <c r="E3" s="122"/>
      <c r="F3" s="27" t="s">
        <v>4</v>
      </c>
    </row>
    <row r="4" spans="3:15" x14ac:dyDescent="0.3">
      <c r="C4" s="114" t="s">
        <v>46</v>
      </c>
      <c r="D4" s="115"/>
      <c r="E4" s="115"/>
      <c r="F4" s="28">
        <v>68.5</v>
      </c>
    </row>
    <row r="5" spans="3:15" x14ac:dyDescent="0.3">
      <c r="C5" s="114" t="s">
        <v>43</v>
      </c>
      <c r="D5" s="115"/>
      <c r="E5" s="115"/>
      <c r="F5" s="28">
        <v>8.1999999999999993</v>
      </c>
    </row>
    <row r="6" spans="3:15" x14ac:dyDescent="0.3">
      <c r="C6" s="114" t="s">
        <v>47</v>
      </c>
      <c r="D6" s="115"/>
      <c r="E6" s="115"/>
      <c r="F6" s="28">
        <v>70</v>
      </c>
    </row>
    <row r="7" spans="3:15" x14ac:dyDescent="0.3">
      <c r="C7" s="114" t="s">
        <v>44</v>
      </c>
      <c r="D7" s="115"/>
      <c r="E7" s="115"/>
      <c r="F7" s="28">
        <v>180</v>
      </c>
    </row>
    <row r="8" spans="3:15" ht="15" thickBot="1" x14ac:dyDescent="0.35">
      <c r="C8" s="116" t="s">
        <v>45</v>
      </c>
      <c r="D8" s="117"/>
      <c r="E8" s="117"/>
      <c r="F8" s="29">
        <v>0.05</v>
      </c>
    </row>
    <row r="11" spans="3:15" ht="15" thickBot="1" x14ac:dyDescent="0.35"/>
    <row r="12" spans="3:15" ht="15" thickBot="1" x14ac:dyDescent="0.35">
      <c r="H12" s="135"/>
      <c r="I12" s="136"/>
      <c r="J12" s="137"/>
      <c r="K12" s="124" t="s">
        <v>4</v>
      </c>
      <c r="L12" s="125"/>
      <c r="M12" s="125" t="s">
        <v>16</v>
      </c>
      <c r="N12" s="125"/>
      <c r="O12" s="126"/>
    </row>
    <row r="13" spans="3:15" x14ac:dyDescent="0.3">
      <c r="H13" s="124" t="s">
        <v>49</v>
      </c>
      <c r="I13" s="125"/>
      <c r="J13" s="126"/>
      <c r="K13" s="140">
        <f>8.2/SQRT(180)</f>
        <v>0.61119191384994243</v>
      </c>
      <c r="L13" s="138"/>
      <c r="M13" s="138" t="s">
        <v>53</v>
      </c>
      <c r="N13" s="138"/>
      <c r="O13" s="139"/>
    </row>
    <row r="14" spans="3:15" x14ac:dyDescent="0.3">
      <c r="H14" s="127" t="s">
        <v>50</v>
      </c>
      <c r="I14" s="128"/>
      <c r="J14" s="129"/>
      <c r="K14" s="140">
        <f>(68.5-70)/(8.2/SQRT(180))</f>
        <v>-2.4542209509144035</v>
      </c>
      <c r="L14" s="138"/>
      <c r="M14" s="138" t="s">
        <v>54</v>
      </c>
      <c r="N14" s="138"/>
      <c r="O14" s="139"/>
    </row>
    <row r="15" spans="3:15" x14ac:dyDescent="0.3">
      <c r="H15" s="127" t="s">
        <v>51</v>
      </c>
      <c r="I15" s="128"/>
      <c r="J15" s="129"/>
      <c r="K15" s="140">
        <f>180-1</f>
        <v>179</v>
      </c>
      <c r="L15" s="138"/>
      <c r="M15" s="138" t="s">
        <v>55</v>
      </c>
      <c r="N15" s="138"/>
      <c r="O15" s="139"/>
    </row>
    <row r="16" spans="3:15" ht="15" thickBot="1" x14ac:dyDescent="0.35">
      <c r="H16" s="130" t="s">
        <v>52</v>
      </c>
      <c r="I16" s="131"/>
      <c r="J16" s="132"/>
      <c r="K16" s="141">
        <f>_xlfn.T.DIST.2T(ABS(-2.46),179)</f>
        <v>1.48430867566224E-2</v>
      </c>
      <c r="L16" s="133"/>
      <c r="M16" s="133" t="s">
        <v>56</v>
      </c>
      <c r="N16" s="133"/>
      <c r="O16" s="134"/>
    </row>
    <row r="17" spans="8:9" x14ac:dyDescent="0.3">
      <c r="H17" s="123"/>
      <c r="I17" s="123"/>
    </row>
  </sheetData>
  <mergeCells count="23">
    <mergeCell ref="M16:O16"/>
    <mergeCell ref="K12:L12"/>
    <mergeCell ref="H12:J12"/>
    <mergeCell ref="M13:O13"/>
    <mergeCell ref="M12:O12"/>
    <mergeCell ref="M14:O14"/>
    <mergeCell ref="M15:O15"/>
    <mergeCell ref="K13:L13"/>
    <mergeCell ref="K14:L14"/>
    <mergeCell ref="K15:L15"/>
    <mergeCell ref="K16:L16"/>
    <mergeCell ref="H17:I17"/>
    <mergeCell ref="H13:J13"/>
    <mergeCell ref="H14:J14"/>
    <mergeCell ref="H15:J15"/>
    <mergeCell ref="H16:J16"/>
    <mergeCell ref="C7:E7"/>
    <mergeCell ref="C8:E8"/>
    <mergeCell ref="C2:F2"/>
    <mergeCell ref="C3:E3"/>
    <mergeCell ref="C4:E4"/>
    <mergeCell ref="C5:E5"/>
    <mergeCell ref="C6: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1"/>
  <sheetViews>
    <sheetView zoomScale="85" zoomScaleNormal="85" workbookViewId="0">
      <selection activeCell="X33" sqref="X33"/>
    </sheetView>
  </sheetViews>
  <sheetFormatPr defaultRowHeight="14.4" x14ac:dyDescent="0.3"/>
  <cols>
    <col min="1" max="1" width="14.6640625" customWidth="1"/>
    <col min="2" max="2" width="8.33203125" customWidth="1"/>
    <col min="3" max="3" width="19.33203125" customWidth="1"/>
    <col min="5" max="5" width="7.21875" customWidth="1"/>
    <col min="6" max="6" width="10.88671875" customWidth="1"/>
    <col min="7" max="7" width="8.21875" customWidth="1"/>
    <col min="8" max="8" width="17.33203125" customWidth="1"/>
    <col min="9" max="9" width="7.5546875" customWidth="1"/>
    <col min="10" max="10" width="11.33203125" customWidth="1"/>
    <col min="11" max="11" width="8.33203125" customWidth="1"/>
    <col min="12" max="12" width="17.5546875" customWidth="1"/>
    <col min="19" max="19" width="9.44140625" customWidth="1"/>
  </cols>
  <sheetData>
    <row r="1" spans="1:20" ht="18.600000000000001" customHeight="1" thickBot="1" x14ac:dyDescent="0.35">
      <c r="A1" s="56" t="s">
        <v>480</v>
      </c>
      <c r="B1" s="55" t="s">
        <v>482</v>
      </c>
      <c r="C1" s="54" t="s">
        <v>478</v>
      </c>
    </row>
    <row r="2" spans="1:20" x14ac:dyDescent="0.3">
      <c r="A2" s="53" t="s">
        <v>476</v>
      </c>
      <c r="B2" s="53" t="s">
        <v>59</v>
      </c>
      <c r="C2" s="53">
        <v>69.7</v>
      </c>
    </row>
    <row r="3" spans="1:20" x14ac:dyDescent="0.3">
      <c r="A3" s="1" t="s">
        <v>474</v>
      </c>
      <c r="B3" s="1" t="s">
        <v>59</v>
      </c>
      <c r="C3" s="1">
        <v>88.5</v>
      </c>
    </row>
    <row r="4" spans="1:20" ht="15" thickBot="1" x14ac:dyDescent="0.35">
      <c r="A4" s="1" t="s">
        <v>477</v>
      </c>
      <c r="B4" s="1" t="s">
        <v>57</v>
      </c>
      <c r="C4" s="1">
        <v>53.7</v>
      </c>
    </row>
    <row r="5" spans="1:20" ht="15" thickTop="1" x14ac:dyDescent="0.3">
      <c r="A5" s="1" t="s">
        <v>472</v>
      </c>
      <c r="B5" s="1" t="s">
        <v>59</v>
      </c>
      <c r="C5" s="1">
        <v>65.2</v>
      </c>
      <c r="N5" s="45"/>
      <c r="O5" s="44"/>
      <c r="P5" s="44"/>
      <c r="Q5" s="44"/>
      <c r="R5" s="44"/>
      <c r="S5" s="44"/>
      <c r="T5" s="43"/>
    </row>
    <row r="6" spans="1:20" x14ac:dyDescent="0.3">
      <c r="A6" s="1" t="s">
        <v>475</v>
      </c>
      <c r="B6" s="1" t="s">
        <v>57</v>
      </c>
      <c r="C6" s="1">
        <v>53.4</v>
      </c>
      <c r="F6" s="52" t="s">
        <v>480</v>
      </c>
      <c r="G6" s="52" t="s">
        <v>481</v>
      </c>
      <c r="H6" s="52" t="s">
        <v>478</v>
      </c>
      <c r="J6" s="52" t="s">
        <v>480</v>
      </c>
      <c r="K6" s="52" t="s">
        <v>479</v>
      </c>
      <c r="L6" s="52" t="s">
        <v>478</v>
      </c>
      <c r="N6" s="39"/>
      <c r="O6" s="4"/>
      <c r="P6" s="4"/>
      <c r="Q6" s="4"/>
      <c r="R6" s="4"/>
      <c r="S6" s="4"/>
      <c r="T6" s="36"/>
    </row>
    <row r="7" spans="1:20" x14ac:dyDescent="0.3">
      <c r="A7" s="1" t="s">
        <v>473</v>
      </c>
      <c r="B7" s="1" t="s">
        <v>57</v>
      </c>
      <c r="C7" s="1">
        <v>97.1</v>
      </c>
      <c r="F7" s="6" t="s">
        <v>477</v>
      </c>
      <c r="G7" s="6" t="s">
        <v>57</v>
      </c>
      <c r="H7" s="6">
        <v>53.7</v>
      </c>
      <c r="J7" s="6" t="s">
        <v>476</v>
      </c>
      <c r="K7" s="6" t="s">
        <v>59</v>
      </c>
      <c r="L7" s="6">
        <v>69.7</v>
      </c>
      <c r="N7" s="39"/>
      <c r="O7" s="4"/>
      <c r="P7" s="4"/>
      <c r="Q7" s="4"/>
      <c r="R7" s="4"/>
      <c r="S7" s="4"/>
      <c r="T7" s="36"/>
    </row>
    <row r="8" spans="1:20" x14ac:dyDescent="0.3">
      <c r="A8" s="1" t="s">
        <v>470</v>
      </c>
      <c r="B8" s="1" t="s">
        <v>59</v>
      </c>
      <c r="C8" s="1">
        <v>78.900000000000006</v>
      </c>
      <c r="F8" s="6" t="s">
        <v>475</v>
      </c>
      <c r="G8" s="6" t="s">
        <v>57</v>
      </c>
      <c r="H8" s="6">
        <v>53.4</v>
      </c>
      <c r="J8" s="6" t="s">
        <v>474</v>
      </c>
      <c r="K8" s="6" t="s">
        <v>59</v>
      </c>
      <c r="L8" s="6">
        <v>88.5</v>
      </c>
      <c r="N8" s="39"/>
      <c r="O8" s="4"/>
      <c r="P8" s="4"/>
      <c r="Q8" s="4"/>
      <c r="R8" s="4"/>
      <c r="S8" s="4"/>
      <c r="T8" s="36"/>
    </row>
    <row r="9" spans="1:20" ht="15" thickBot="1" x14ac:dyDescent="0.35">
      <c r="A9" s="1" t="s">
        <v>471</v>
      </c>
      <c r="B9" s="1" t="s">
        <v>57</v>
      </c>
      <c r="C9" s="1">
        <v>71.2</v>
      </c>
      <c r="F9" s="6" t="s">
        <v>473</v>
      </c>
      <c r="G9" s="6" t="s">
        <v>57</v>
      </c>
      <c r="H9" s="6">
        <v>97.1</v>
      </c>
      <c r="J9" s="6" t="s">
        <v>472</v>
      </c>
      <c r="K9" s="6" t="s">
        <v>59</v>
      </c>
      <c r="L9" s="6">
        <v>65.2</v>
      </c>
      <c r="N9" s="39"/>
      <c r="T9" s="36"/>
    </row>
    <row r="10" spans="1:20" x14ac:dyDescent="0.3">
      <c r="A10" s="1" t="s">
        <v>467</v>
      </c>
      <c r="B10" s="1" t="s">
        <v>59</v>
      </c>
      <c r="C10" s="1">
        <v>75.3</v>
      </c>
      <c r="F10" s="6" t="s">
        <v>471</v>
      </c>
      <c r="G10" s="6" t="s">
        <v>57</v>
      </c>
      <c r="H10" s="6">
        <v>71.2</v>
      </c>
      <c r="J10" s="6" t="s">
        <v>470</v>
      </c>
      <c r="K10" s="6" t="s">
        <v>59</v>
      </c>
      <c r="L10" s="6">
        <v>78.900000000000006</v>
      </c>
      <c r="N10" s="39"/>
      <c r="O10" s="83" t="s">
        <v>469</v>
      </c>
      <c r="P10" s="82"/>
      <c r="Q10" s="49" t="s">
        <v>4</v>
      </c>
      <c r="R10" s="144" t="s">
        <v>16</v>
      </c>
      <c r="S10" s="145"/>
      <c r="T10" s="36"/>
    </row>
    <row r="11" spans="1:20" x14ac:dyDescent="0.3">
      <c r="A11" s="1" t="s">
        <v>468</v>
      </c>
      <c r="B11" s="1" t="s">
        <v>57</v>
      </c>
      <c r="C11" s="1">
        <v>79.599999999999994</v>
      </c>
      <c r="F11" s="6" t="s">
        <v>468</v>
      </c>
      <c r="G11" s="6" t="s">
        <v>57</v>
      </c>
      <c r="H11" s="6">
        <v>79.599999999999994</v>
      </c>
      <c r="J11" s="6" t="s">
        <v>467</v>
      </c>
      <c r="K11" s="6" t="s">
        <v>59</v>
      </c>
      <c r="L11" s="6">
        <v>75.3</v>
      </c>
      <c r="N11" s="51"/>
      <c r="O11" s="152" t="s">
        <v>460</v>
      </c>
      <c r="P11" s="153"/>
      <c r="Q11" s="48">
        <v>200</v>
      </c>
      <c r="R11" s="154" t="s">
        <v>36</v>
      </c>
      <c r="S11" s="155"/>
      <c r="T11" s="36"/>
    </row>
    <row r="12" spans="1:20" x14ac:dyDescent="0.3">
      <c r="A12" s="1" t="s">
        <v>466</v>
      </c>
      <c r="B12" s="1" t="s">
        <v>57</v>
      </c>
      <c r="C12" s="1">
        <v>61.9</v>
      </c>
      <c r="F12" s="6" t="s">
        <v>466</v>
      </c>
      <c r="G12" s="6" t="s">
        <v>57</v>
      </c>
      <c r="H12" s="6">
        <v>61.9</v>
      </c>
      <c r="J12" s="6" t="s">
        <v>465</v>
      </c>
      <c r="K12" s="6" t="s">
        <v>59</v>
      </c>
      <c r="L12" s="6">
        <v>73.7</v>
      </c>
      <c r="N12" s="51"/>
      <c r="O12" s="142" t="s">
        <v>5</v>
      </c>
      <c r="P12" s="143"/>
      <c r="Q12" s="47">
        <f>AVERAGE(H7:H206)</f>
        <v>68.515500000000017</v>
      </c>
      <c r="R12" s="148" t="s">
        <v>458</v>
      </c>
      <c r="S12" s="149"/>
      <c r="T12" s="36"/>
    </row>
    <row r="13" spans="1:20" ht="15" thickBot="1" x14ac:dyDescent="0.35">
      <c r="A13" s="1" t="s">
        <v>465</v>
      </c>
      <c r="B13" s="1" t="s">
        <v>59</v>
      </c>
      <c r="C13" s="1">
        <v>73.7</v>
      </c>
      <c r="F13" s="6" t="s">
        <v>464</v>
      </c>
      <c r="G13" s="6" t="s">
        <v>57</v>
      </c>
      <c r="H13" s="6">
        <v>64.3</v>
      </c>
      <c r="J13" s="6" t="s">
        <v>457</v>
      </c>
      <c r="K13" s="6" t="s">
        <v>59</v>
      </c>
      <c r="L13" s="6">
        <v>71.8</v>
      </c>
      <c r="N13" s="50"/>
      <c r="O13" s="146" t="s">
        <v>456</v>
      </c>
      <c r="P13" s="147"/>
      <c r="Q13" s="46">
        <f>STDEV(H7:H206)</f>
        <v>12.674102497636742</v>
      </c>
      <c r="R13" s="150" t="s">
        <v>455</v>
      </c>
      <c r="S13" s="151"/>
      <c r="T13" s="36"/>
    </row>
    <row r="14" spans="1:20" ht="15" thickBot="1" x14ac:dyDescent="0.35">
      <c r="A14" s="1" t="s">
        <v>464</v>
      </c>
      <c r="B14" s="1" t="s">
        <v>57</v>
      </c>
      <c r="C14" s="1">
        <v>64.3</v>
      </c>
      <c r="F14" s="6" t="s">
        <v>463</v>
      </c>
      <c r="G14" s="6" t="s">
        <v>57</v>
      </c>
      <c r="H14" s="6">
        <v>81.099999999999994</v>
      </c>
      <c r="J14" s="6" t="s">
        <v>454</v>
      </c>
      <c r="K14" s="6" t="s">
        <v>59</v>
      </c>
      <c r="L14" s="6">
        <v>68.3</v>
      </c>
      <c r="N14" s="50"/>
      <c r="O14" s="41"/>
      <c r="P14" s="4"/>
      <c r="Q14" s="4"/>
      <c r="R14" s="41"/>
      <c r="S14" s="41"/>
      <c r="T14" s="36"/>
    </row>
    <row r="15" spans="1:20" x14ac:dyDescent="0.3">
      <c r="A15" s="1" t="s">
        <v>463</v>
      </c>
      <c r="B15" s="1" t="s">
        <v>57</v>
      </c>
      <c r="C15" s="1">
        <v>81.099999999999994</v>
      </c>
      <c r="F15" s="6" t="s">
        <v>461</v>
      </c>
      <c r="G15" s="6" t="s">
        <v>57</v>
      </c>
      <c r="H15" s="6">
        <v>80.099999999999994</v>
      </c>
      <c r="J15" s="6" t="s">
        <v>453</v>
      </c>
      <c r="K15" s="6" t="s">
        <v>59</v>
      </c>
      <c r="L15" s="6">
        <v>61.2</v>
      </c>
      <c r="N15" s="39"/>
      <c r="O15" s="83" t="s">
        <v>462</v>
      </c>
      <c r="P15" s="82"/>
      <c r="Q15" s="49" t="s">
        <v>4</v>
      </c>
      <c r="R15" s="144" t="s">
        <v>16</v>
      </c>
      <c r="S15" s="145"/>
      <c r="T15" s="36"/>
    </row>
    <row r="16" spans="1:20" x14ac:dyDescent="0.3">
      <c r="A16" s="1" t="s">
        <v>461</v>
      </c>
      <c r="B16" s="1" t="s">
        <v>57</v>
      </c>
      <c r="C16" s="1">
        <v>80.099999999999994</v>
      </c>
      <c r="F16" s="6" t="s">
        <v>459</v>
      </c>
      <c r="G16" s="6" t="s">
        <v>57</v>
      </c>
      <c r="H16" s="6">
        <v>79.8</v>
      </c>
      <c r="J16" s="6" t="s">
        <v>452</v>
      </c>
      <c r="K16" s="6" t="s">
        <v>59</v>
      </c>
      <c r="L16" s="6">
        <v>75.3</v>
      </c>
      <c r="N16" s="39"/>
      <c r="O16" s="156" t="s">
        <v>460</v>
      </c>
      <c r="P16" s="85"/>
      <c r="Q16" s="48">
        <v>200</v>
      </c>
      <c r="R16" s="157" t="s">
        <v>36</v>
      </c>
      <c r="S16" s="158"/>
      <c r="T16" s="36"/>
    </row>
    <row r="17" spans="1:22" x14ac:dyDescent="0.3">
      <c r="A17" s="1" t="s">
        <v>459</v>
      </c>
      <c r="B17" s="1" t="s">
        <v>57</v>
      </c>
      <c r="C17" s="1">
        <v>79.8</v>
      </c>
      <c r="F17" s="6" t="s">
        <v>451</v>
      </c>
      <c r="G17" s="6" t="s">
        <v>57</v>
      </c>
      <c r="H17" s="6">
        <v>91</v>
      </c>
      <c r="J17" s="6" t="s">
        <v>449</v>
      </c>
      <c r="K17" s="6" t="s">
        <v>59</v>
      </c>
      <c r="L17" s="6">
        <v>62.2</v>
      </c>
      <c r="N17" s="39"/>
      <c r="O17" s="159" t="s">
        <v>5</v>
      </c>
      <c r="P17" s="160"/>
      <c r="Q17" s="47">
        <f>AVERAGE(L7:L206)</f>
        <v>72.540499999999938</v>
      </c>
      <c r="R17" s="161" t="s">
        <v>458</v>
      </c>
      <c r="S17" s="162"/>
      <c r="T17" s="36"/>
    </row>
    <row r="18" spans="1:22" ht="15" thickBot="1" x14ac:dyDescent="0.35">
      <c r="A18" s="1" t="s">
        <v>457</v>
      </c>
      <c r="B18" s="1" t="s">
        <v>59</v>
      </c>
      <c r="C18" s="1">
        <v>71.8</v>
      </c>
      <c r="F18" s="6" t="s">
        <v>450</v>
      </c>
      <c r="G18" s="6" t="s">
        <v>57</v>
      </c>
      <c r="H18" s="6">
        <v>48.1</v>
      </c>
      <c r="J18" s="6" t="s">
        <v>448</v>
      </c>
      <c r="K18" s="6" t="s">
        <v>59</v>
      </c>
      <c r="L18" s="6">
        <v>63.2</v>
      </c>
      <c r="N18" s="39"/>
      <c r="O18" s="163" t="s">
        <v>456</v>
      </c>
      <c r="P18" s="164"/>
      <c r="Q18" s="46">
        <f>STDEV(L7:L206)</f>
        <v>11.770605144910583</v>
      </c>
      <c r="R18" s="165" t="s">
        <v>455</v>
      </c>
      <c r="S18" s="166"/>
      <c r="T18" s="36"/>
    </row>
    <row r="19" spans="1:22" ht="15" thickBot="1" x14ac:dyDescent="0.35">
      <c r="A19" s="1" t="s">
        <v>454</v>
      </c>
      <c r="B19" s="1" t="s">
        <v>59</v>
      </c>
      <c r="C19" s="1">
        <v>68.3</v>
      </c>
      <c r="F19" s="6" t="s">
        <v>447</v>
      </c>
      <c r="G19" s="6" t="s">
        <v>57</v>
      </c>
      <c r="H19" s="6">
        <v>72.400000000000006</v>
      </c>
      <c r="J19" s="6" t="s">
        <v>446</v>
      </c>
      <c r="K19" s="6" t="s">
        <v>59</v>
      </c>
      <c r="L19" s="6">
        <v>69.5</v>
      </c>
      <c r="N19" s="35"/>
      <c r="O19" s="34"/>
      <c r="P19" s="34"/>
      <c r="Q19" s="34"/>
      <c r="R19" s="34"/>
      <c r="S19" s="34"/>
      <c r="T19" s="33"/>
    </row>
    <row r="20" spans="1:22" ht="15.6" thickTop="1" thickBot="1" x14ac:dyDescent="0.35">
      <c r="A20" s="1" t="s">
        <v>453</v>
      </c>
      <c r="B20" s="1" t="s">
        <v>59</v>
      </c>
      <c r="C20" s="1">
        <v>61.2</v>
      </c>
      <c r="F20" s="6" t="s">
        <v>444</v>
      </c>
      <c r="G20" s="6" t="s">
        <v>57</v>
      </c>
      <c r="H20" s="6">
        <v>54</v>
      </c>
      <c r="J20" s="6" t="s">
        <v>443</v>
      </c>
      <c r="K20" s="6" t="s">
        <v>59</v>
      </c>
      <c r="L20" s="6">
        <v>77</v>
      </c>
    </row>
    <row r="21" spans="1:22" ht="15" thickTop="1" x14ac:dyDescent="0.3">
      <c r="A21" s="1" t="s">
        <v>452</v>
      </c>
      <c r="B21" s="1" t="s">
        <v>59</v>
      </c>
      <c r="C21" s="1">
        <v>75.3</v>
      </c>
      <c r="F21" s="6" t="s">
        <v>439</v>
      </c>
      <c r="G21" s="6" t="s">
        <v>57</v>
      </c>
      <c r="H21" s="6">
        <v>82.1</v>
      </c>
      <c r="J21" s="6" t="s">
        <v>440</v>
      </c>
      <c r="K21" s="6" t="s">
        <v>59</v>
      </c>
      <c r="L21" s="6">
        <v>73.099999999999994</v>
      </c>
      <c r="N21" s="45"/>
      <c r="O21" s="44"/>
      <c r="P21" s="44"/>
      <c r="Q21" s="44"/>
      <c r="R21" s="44"/>
      <c r="S21" s="44"/>
      <c r="T21" s="44"/>
      <c r="U21" s="44"/>
      <c r="V21" s="43"/>
    </row>
    <row r="22" spans="1:22" x14ac:dyDescent="0.3">
      <c r="A22" s="1" t="s">
        <v>451</v>
      </c>
      <c r="B22" s="1" t="s">
        <v>57</v>
      </c>
      <c r="C22" s="1">
        <v>91</v>
      </c>
      <c r="F22" s="6" t="s">
        <v>435</v>
      </c>
      <c r="G22" s="6" t="s">
        <v>57</v>
      </c>
      <c r="H22" s="6">
        <v>65.900000000000006</v>
      </c>
      <c r="J22" s="6" t="s">
        <v>437</v>
      </c>
      <c r="K22" s="6" t="s">
        <v>59</v>
      </c>
      <c r="L22" s="6">
        <v>59.1</v>
      </c>
      <c r="N22" s="39"/>
      <c r="O22" s="4"/>
      <c r="P22" s="4"/>
      <c r="Q22" s="4"/>
      <c r="R22" s="4"/>
      <c r="S22" s="4"/>
      <c r="T22" s="4"/>
      <c r="U22" s="4"/>
      <c r="V22" s="36"/>
    </row>
    <row r="23" spans="1:22" x14ac:dyDescent="0.3">
      <c r="A23" s="1" t="s">
        <v>450</v>
      </c>
      <c r="B23" s="1" t="s">
        <v>57</v>
      </c>
      <c r="C23" s="1">
        <v>48.1</v>
      </c>
      <c r="F23" s="6" t="s">
        <v>431</v>
      </c>
      <c r="G23" s="6" t="s">
        <v>57</v>
      </c>
      <c r="H23" s="6">
        <v>65.099999999999994</v>
      </c>
      <c r="J23" s="6" t="s">
        <v>433</v>
      </c>
      <c r="K23" s="6" t="s">
        <v>59</v>
      </c>
      <c r="L23" s="6">
        <v>82</v>
      </c>
      <c r="N23" s="39"/>
      <c r="O23" s="4"/>
      <c r="P23" s="4"/>
      <c r="Q23" s="4"/>
      <c r="R23" s="4"/>
      <c r="S23" s="4"/>
      <c r="T23" s="4"/>
      <c r="U23" s="4"/>
      <c r="V23" s="36"/>
    </row>
    <row r="24" spans="1:22" x14ac:dyDescent="0.3">
      <c r="A24" s="1" t="s">
        <v>449</v>
      </c>
      <c r="B24" s="1" t="s">
        <v>59</v>
      </c>
      <c r="C24" s="1">
        <v>62.2</v>
      </c>
      <c r="F24" s="6" t="s">
        <v>427</v>
      </c>
      <c r="G24" s="6" t="s">
        <v>57</v>
      </c>
      <c r="H24" s="6">
        <v>87.1</v>
      </c>
      <c r="J24" s="6" t="s">
        <v>429</v>
      </c>
      <c r="K24" s="6" t="s">
        <v>59</v>
      </c>
      <c r="L24" s="6">
        <v>74.099999999999994</v>
      </c>
      <c r="N24" s="39"/>
      <c r="O24" s="4"/>
      <c r="P24" s="4"/>
      <c r="Q24" s="4"/>
      <c r="R24" s="4"/>
      <c r="S24" s="4"/>
      <c r="T24" s="4"/>
      <c r="U24" s="4"/>
      <c r="V24" s="36"/>
    </row>
    <row r="25" spans="1:22" x14ac:dyDescent="0.3">
      <c r="A25" s="1" t="s">
        <v>448</v>
      </c>
      <c r="B25" s="1" t="s">
        <v>59</v>
      </c>
      <c r="C25" s="1">
        <v>63.2</v>
      </c>
      <c r="F25" s="6" t="s">
        <v>425</v>
      </c>
      <c r="G25" s="6" t="s">
        <v>57</v>
      </c>
      <c r="H25" s="6">
        <v>67.7</v>
      </c>
      <c r="J25" s="6" t="s">
        <v>423</v>
      </c>
      <c r="K25" s="6" t="s">
        <v>59</v>
      </c>
      <c r="L25" s="6">
        <v>89.5</v>
      </c>
      <c r="N25" s="39"/>
      <c r="O25" s="4"/>
      <c r="P25" s="4"/>
      <c r="Q25" s="4"/>
      <c r="R25" s="4"/>
      <c r="S25" s="4"/>
      <c r="T25" s="4"/>
      <c r="U25" s="4"/>
      <c r="V25" s="36"/>
    </row>
    <row r="26" spans="1:22" ht="15" thickBot="1" x14ac:dyDescent="0.35">
      <c r="A26" s="1" t="s">
        <v>447</v>
      </c>
      <c r="B26" s="1" t="s">
        <v>57</v>
      </c>
      <c r="C26" s="1">
        <v>72.400000000000006</v>
      </c>
      <c r="F26" s="6" t="s">
        <v>421</v>
      </c>
      <c r="G26" s="6" t="s">
        <v>57</v>
      </c>
      <c r="H26" s="6">
        <v>68.8</v>
      </c>
      <c r="J26" s="6" t="s">
        <v>418</v>
      </c>
      <c r="K26" s="6" t="s">
        <v>59</v>
      </c>
      <c r="L26" s="6">
        <v>97.6</v>
      </c>
      <c r="N26" s="39"/>
      <c r="O26" s="41"/>
      <c r="P26" s="41"/>
      <c r="Q26" s="4"/>
      <c r="R26" s="4"/>
      <c r="S26" s="4"/>
      <c r="T26" s="4"/>
      <c r="U26" s="4"/>
      <c r="V26" s="36"/>
    </row>
    <row r="27" spans="1:22" x14ac:dyDescent="0.3">
      <c r="A27" s="1" t="s">
        <v>446</v>
      </c>
      <c r="B27" s="1" t="s">
        <v>59</v>
      </c>
      <c r="C27" s="1">
        <v>69.5</v>
      </c>
      <c r="F27" s="6" t="s">
        <v>419</v>
      </c>
      <c r="G27" s="6" t="s">
        <v>57</v>
      </c>
      <c r="H27" s="6">
        <v>66.7</v>
      </c>
      <c r="J27" s="6" t="s">
        <v>413</v>
      </c>
      <c r="K27" s="6" t="s">
        <v>59</v>
      </c>
      <c r="L27" s="6">
        <v>64.5</v>
      </c>
      <c r="N27" s="39"/>
      <c r="O27" s="41"/>
      <c r="P27" s="171" t="s">
        <v>445</v>
      </c>
      <c r="Q27" s="172"/>
      <c r="R27" s="172"/>
      <c r="S27" s="172"/>
      <c r="T27" s="173"/>
      <c r="U27" s="4"/>
      <c r="V27" s="36"/>
    </row>
    <row r="28" spans="1:22" ht="15" thickBot="1" x14ac:dyDescent="0.35">
      <c r="A28" s="1" t="s">
        <v>444</v>
      </c>
      <c r="B28" s="1" t="s">
        <v>57</v>
      </c>
      <c r="C28" s="1">
        <v>54</v>
      </c>
      <c r="F28" s="6" t="s">
        <v>417</v>
      </c>
      <c r="G28" s="6" t="s">
        <v>57</v>
      </c>
      <c r="H28" s="6">
        <v>70.400000000000006</v>
      </c>
      <c r="J28" s="6" t="s">
        <v>407</v>
      </c>
      <c r="K28" s="6" t="s">
        <v>59</v>
      </c>
      <c r="L28" s="6">
        <v>81.099999999999994</v>
      </c>
      <c r="N28" s="39"/>
      <c r="O28" s="41"/>
      <c r="P28" s="174"/>
      <c r="Q28" s="175"/>
      <c r="R28" s="175"/>
      <c r="S28" s="175"/>
      <c r="T28" s="176"/>
      <c r="U28" s="4"/>
      <c r="V28" s="36"/>
    </row>
    <row r="29" spans="1:22" x14ac:dyDescent="0.3">
      <c r="A29" s="1" t="s">
        <v>443</v>
      </c>
      <c r="B29" s="1" t="s">
        <v>59</v>
      </c>
      <c r="C29" s="1">
        <v>77</v>
      </c>
      <c r="F29" s="6" t="s">
        <v>416</v>
      </c>
      <c r="G29" s="6" t="s">
        <v>57</v>
      </c>
      <c r="H29" s="6">
        <v>59.8</v>
      </c>
      <c r="J29" s="6" t="s">
        <v>406</v>
      </c>
      <c r="K29" s="6" t="s">
        <v>59</v>
      </c>
      <c r="L29" s="6">
        <v>70.099999999999994</v>
      </c>
      <c r="N29" s="39"/>
      <c r="O29" s="41"/>
      <c r="P29" s="179"/>
      <c r="Q29" s="180"/>
      <c r="R29" s="62" t="s">
        <v>442</v>
      </c>
      <c r="S29" s="62" t="s">
        <v>441</v>
      </c>
      <c r="T29" s="63"/>
      <c r="U29" s="4"/>
      <c r="V29" s="36"/>
    </row>
    <row r="30" spans="1:22" x14ac:dyDescent="0.3">
      <c r="A30" s="1" t="s">
        <v>440</v>
      </c>
      <c r="B30" s="1" t="s">
        <v>59</v>
      </c>
      <c r="C30" s="1">
        <v>73.099999999999994</v>
      </c>
      <c r="F30" s="6" t="s">
        <v>415</v>
      </c>
      <c r="G30" s="6" t="s">
        <v>57</v>
      </c>
      <c r="H30" s="6">
        <v>81.900000000000006</v>
      </c>
      <c r="J30" s="6" t="s">
        <v>404</v>
      </c>
      <c r="K30" s="6" t="s">
        <v>59</v>
      </c>
      <c r="L30" s="6">
        <v>55.3</v>
      </c>
      <c r="N30" s="39"/>
      <c r="O30" s="4"/>
      <c r="P30" s="167" t="s">
        <v>5</v>
      </c>
      <c r="Q30" s="168"/>
      <c r="R30" s="58">
        <v>68.515500000000017</v>
      </c>
      <c r="S30" s="58">
        <v>72.540499999999938</v>
      </c>
      <c r="T30" s="59"/>
      <c r="U30" s="4"/>
      <c r="V30" s="36"/>
    </row>
    <row r="31" spans="1:22" x14ac:dyDescent="0.3">
      <c r="A31" s="1" t="s">
        <v>439</v>
      </c>
      <c r="B31" s="1" t="s">
        <v>57</v>
      </c>
      <c r="C31" s="1">
        <v>82.1</v>
      </c>
      <c r="F31" s="6" t="s">
        <v>414</v>
      </c>
      <c r="G31" s="6" t="s">
        <v>57</v>
      </c>
      <c r="H31" s="6">
        <v>69.400000000000006</v>
      </c>
      <c r="J31" s="6" t="s">
        <v>402</v>
      </c>
      <c r="K31" s="6" t="s">
        <v>59</v>
      </c>
      <c r="L31" s="6">
        <v>57.8</v>
      </c>
      <c r="N31" s="39"/>
      <c r="O31" s="4"/>
      <c r="P31" s="167" t="s">
        <v>438</v>
      </c>
      <c r="Q31" s="168"/>
      <c r="R31" s="58">
        <v>160.63287412060188</v>
      </c>
      <c r="S31" s="58">
        <v>138.54714547739547</v>
      </c>
      <c r="T31" s="59"/>
      <c r="U31" s="4"/>
      <c r="V31" s="36"/>
    </row>
    <row r="32" spans="1:22" x14ac:dyDescent="0.3">
      <c r="A32" s="1" t="s">
        <v>437</v>
      </c>
      <c r="B32" s="1" t="s">
        <v>59</v>
      </c>
      <c r="C32" s="1">
        <v>59.1</v>
      </c>
      <c r="F32" s="6" t="s">
        <v>412</v>
      </c>
      <c r="G32" s="6" t="s">
        <v>57</v>
      </c>
      <c r="H32" s="6">
        <v>69.7</v>
      </c>
      <c r="J32" s="6" t="s">
        <v>397</v>
      </c>
      <c r="K32" s="6" t="s">
        <v>59</v>
      </c>
      <c r="L32" s="6">
        <v>61</v>
      </c>
      <c r="N32" s="39"/>
      <c r="O32" s="4"/>
      <c r="P32" s="167" t="s">
        <v>436</v>
      </c>
      <c r="Q32" s="168"/>
      <c r="R32" s="58">
        <v>200</v>
      </c>
      <c r="S32" s="58">
        <v>200</v>
      </c>
      <c r="T32" s="59"/>
      <c r="U32" s="4"/>
      <c r="V32" s="36"/>
    </row>
    <row r="33" spans="1:22" x14ac:dyDescent="0.3">
      <c r="A33" s="1" t="s">
        <v>435</v>
      </c>
      <c r="B33" s="1" t="s">
        <v>57</v>
      </c>
      <c r="C33" s="1">
        <v>65.900000000000006</v>
      </c>
      <c r="F33" s="6" t="s">
        <v>411</v>
      </c>
      <c r="G33" s="6" t="s">
        <v>57</v>
      </c>
      <c r="H33" s="6">
        <v>78.5</v>
      </c>
      <c r="J33" s="6" t="s">
        <v>396</v>
      </c>
      <c r="K33" s="6" t="s">
        <v>59</v>
      </c>
      <c r="L33" s="6">
        <v>78.099999999999994</v>
      </c>
      <c r="N33" s="39"/>
      <c r="O33" s="41"/>
      <c r="P33" s="167" t="s">
        <v>434</v>
      </c>
      <c r="Q33" s="168"/>
      <c r="R33" s="58">
        <v>149.59000979899866</v>
      </c>
      <c r="S33" s="58"/>
      <c r="T33" s="59"/>
      <c r="U33" s="4"/>
      <c r="V33" s="36"/>
    </row>
    <row r="34" spans="1:22" x14ac:dyDescent="0.3">
      <c r="A34" s="1" t="s">
        <v>433</v>
      </c>
      <c r="B34" s="1" t="s">
        <v>59</v>
      </c>
      <c r="C34" s="1">
        <v>82</v>
      </c>
      <c r="F34" s="6" t="s">
        <v>410</v>
      </c>
      <c r="G34" s="6" t="s">
        <v>57</v>
      </c>
      <c r="H34" s="6">
        <v>60.7</v>
      </c>
      <c r="J34" s="6" t="s">
        <v>392</v>
      </c>
      <c r="K34" s="6" t="s">
        <v>59</v>
      </c>
      <c r="L34" s="6">
        <v>80.900000000000006</v>
      </c>
      <c r="N34" s="39"/>
      <c r="O34" s="4"/>
      <c r="P34" s="177" t="s">
        <v>432</v>
      </c>
      <c r="Q34" s="178"/>
      <c r="R34" s="58">
        <v>0</v>
      </c>
      <c r="S34" s="58"/>
      <c r="T34" s="59"/>
      <c r="U34" s="4"/>
      <c r="V34" s="36"/>
    </row>
    <row r="35" spans="1:22" x14ac:dyDescent="0.3">
      <c r="A35" s="1" t="s">
        <v>431</v>
      </c>
      <c r="B35" s="1" t="s">
        <v>57</v>
      </c>
      <c r="C35" s="1">
        <v>65.099999999999994</v>
      </c>
      <c r="F35" s="6" t="s">
        <v>409</v>
      </c>
      <c r="G35" s="6" t="s">
        <v>57</v>
      </c>
      <c r="H35" s="6">
        <v>68</v>
      </c>
      <c r="J35" s="6" t="s">
        <v>391</v>
      </c>
      <c r="K35" s="6" t="s">
        <v>59</v>
      </c>
      <c r="L35" s="6">
        <v>64.2</v>
      </c>
      <c r="N35" s="39"/>
      <c r="O35" s="4"/>
      <c r="P35" s="167" t="s">
        <v>430</v>
      </c>
      <c r="Q35" s="168"/>
      <c r="R35" s="58">
        <v>398</v>
      </c>
      <c r="S35" s="58"/>
      <c r="T35" s="59"/>
      <c r="U35" s="4"/>
      <c r="V35" s="36"/>
    </row>
    <row r="36" spans="1:22" x14ac:dyDescent="0.3">
      <c r="A36" s="1" t="s">
        <v>429</v>
      </c>
      <c r="B36" s="1" t="s">
        <v>59</v>
      </c>
      <c r="C36" s="1">
        <v>74.099999999999994</v>
      </c>
      <c r="F36" s="6" t="s">
        <v>408</v>
      </c>
      <c r="G36" s="6" t="s">
        <v>57</v>
      </c>
      <c r="H36" s="6">
        <v>86</v>
      </c>
      <c r="J36" s="6" t="s">
        <v>390</v>
      </c>
      <c r="K36" s="6" t="s">
        <v>59</v>
      </c>
      <c r="L36" s="6">
        <v>96.4</v>
      </c>
      <c r="N36" s="39"/>
      <c r="O36" s="4"/>
      <c r="P36" s="167" t="s">
        <v>428</v>
      </c>
      <c r="Q36" s="168"/>
      <c r="R36" s="58">
        <v>-3.2908992704730906</v>
      </c>
      <c r="S36" s="58"/>
      <c r="T36" s="59"/>
      <c r="U36" s="4"/>
      <c r="V36" s="36"/>
    </row>
    <row r="37" spans="1:22" x14ac:dyDescent="0.3">
      <c r="A37" s="1" t="s">
        <v>427</v>
      </c>
      <c r="B37" s="1" t="s">
        <v>57</v>
      </c>
      <c r="C37" s="1">
        <v>87.1</v>
      </c>
      <c r="F37" s="6" t="s">
        <v>405</v>
      </c>
      <c r="G37" s="6" t="s">
        <v>57</v>
      </c>
      <c r="H37" s="6">
        <v>93.2</v>
      </c>
      <c r="J37" s="6" t="s">
        <v>388</v>
      </c>
      <c r="K37" s="6" t="s">
        <v>59</v>
      </c>
      <c r="L37" s="6">
        <v>78.5</v>
      </c>
      <c r="N37" s="39"/>
      <c r="O37" s="4"/>
      <c r="P37" s="167" t="s">
        <v>426</v>
      </c>
      <c r="Q37" s="168"/>
      <c r="R37" s="58">
        <v>5.4387546798415987E-4</v>
      </c>
      <c r="S37" s="58"/>
      <c r="T37" s="59"/>
      <c r="U37" s="4"/>
      <c r="V37" s="36"/>
    </row>
    <row r="38" spans="1:22" x14ac:dyDescent="0.3">
      <c r="A38" s="1" t="s">
        <v>425</v>
      </c>
      <c r="B38" s="1" t="s">
        <v>57</v>
      </c>
      <c r="C38" s="1">
        <v>67.7</v>
      </c>
      <c r="F38" s="6" t="s">
        <v>403</v>
      </c>
      <c r="G38" s="6" t="s">
        <v>57</v>
      </c>
      <c r="H38" s="6">
        <v>73.400000000000006</v>
      </c>
      <c r="J38" s="6" t="s">
        <v>384</v>
      </c>
      <c r="K38" s="6" t="s">
        <v>59</v>
      </c>
      <c r="L38" s="6">
        <v>78.5</v>
      </c>
      <c r="N38" s="39"/>
      <c r="O38" s="4"/>
      <c r="P38" s="167" t="s">
        <v>424</v>
      </c>
      <c r="Q38" s="168"/>
      <c r="R38" s="58">
        <v>1.6486911739598198</v>
      </c>
      <c r="S38" s="58"/>
      <c r="T38" s="59"/>
      <c r="U38" s="4"/>
      <c r="V38" s="36"/>
    </row>
    <row r="39" spans="1:22" x14ac:dyDescent="0.3">
      <c r="A39" s="1" t="s">
        <v>423</v>
      </c>
      <c r="B39" s="1" t="s">
        <v>59</v>
      </c>
      <c r="C39" s="1">
        <v>89.5</v>
      </c>
      <c r="F39" s="6" t="s">
        <v>401</v>
      </c>
      <c r="G39" s="6" t="s">
        <v>57</v>
      </c>
      <c r="H39" s="6">
        <v>68.099999999999994</v>
      </c>
      <c r="J39" s="6" t="s">
        <v>383</v>
      </c>
      <c r="K39" s="6" t="s">
        <v>59</v>
      </c>
      <c r="L39" s="6">
        <v>74.400000000000006</v>
      </c>
      <c r="N39" s="39"/>
      <c r="O39" s="4"/>
      <c r="P39" s="167" t="s">
        <v>422</v>
      </c>
      <c r="Q39" s="168"/>
      <c r="R39" s="58">
        <v>1.0877509359683197E-3</v>
      </c>
      <c r="S39" s="58"/>
      <c r="T39" s="59"/>
      <c r="U39" s="4"/>
      <c r="V39" s="36"/>
    </row>
    <row r="40" spans="1:22" ht="15" thickBot="1" x14ac:dyDescent="0.35">
      <c r="A40" s="1" t="s">
        <v>421</v>
      </c>
      <c r="B40" s="1" t="s">
        <v>57</v>
      </c>
      <c r="C40" s="1">
        <v>68.8</v>
      </c>
      <c r="F40" s="6" t="s">
        <v>400</v>
      </c>
      <c r="G40" s="6" t="s">
        <v>57</v>
      </c>
      <c r="H40" s="6">
        <v>81.599999999999994</v>
      </c>
      <c r="J40" s="6" t="s">
        <v>382</v>
      </c>
      <c r="K40" s="6" t="s">
        <v>59</v>
      </c>
      <c r="L40" s="6">
        <v>71.400000000000006</v>
      </c>
      <c r="N40" s="39"/>
      <c r="O40" s="4"/>
      <c r="P40" s="169" t="s">
        <v>420</v>
      </c>
      <c r="Q40" s="170"/>
      <c r="R40" s="60">
        <v>1.965942323976257</v>
      </c>
      <c r="S40" s="60"/>
      <c r="T40" s="61"/>
      <c r="U40" s="4"/>
      <c r="V40" s="36"/>
    </row>
    <row r="41" spans="1:22" ht="15" thickBot="1" x14ac:dyDescent="0.35">
      <c r="A41" s="1" t="s">
        <v>419</v>
      </c>
      <c r="B41" s="1" t="s">
        <v>57</v>
      </c>
      <c r="C41" s="1">
        <v>66.7</v>
      </c>
      <c r="F41" s="6" t="s">
        <v>399</v>
      </c>
      <c r="G41" s="6" t="s">
        <v>57</v>
      </c>
      <c r="H41" s="6">
        <v>55.3</v>
      </c>
      <c r="J41" s="6" t="s">
        <v>381</v>
      </c>
      <c r="K41" s="6" t="s">
        <v>59</v>
      </c>
      <c r="L41" s="6">
        <v>78.400000000000006</v>
      </c>
      <c r="N41" s="35"/>
      <c r="O41" s="34"/>
      <c r="P41" s="34"/>
      <c r="Q41" s="34"/>
      <c r="R41" s="34"/>
      <c r="S41" s="34"/>
      <c r="T41" s="34"/>
      <c r="U41" s="34"/>
      <c r="V41" s="33"/>
    </row>
    <row r="42" spans="1:22" ht="15" thickTop="1" x14ac:dyDescent="0.3">
      <c r="A42" s="1" t="s">
        <v>418</v>
      </c>
      <c r="B42" s="1" t="s">
        <v>59</v>
      </c>
      <c r="C42" s="1">
        <v>97.6</v>
      </c>
      <c r="F42" s="6" t="s">
        <v>398</v>
      </c>
      <c r="G42" s="6" t="s">
        <v>57</v>
      </c>
      <c r="H42" s="6">
        <v>59</v>
      </c>
      <c r="J42" s="6" t="s">
        <v>379</v>
      </c>
      <c r="K42" s="6" t="s">
        <v>59</v>
      </c>
      <c r="L42" s="6">
        <v>78.400000000000006</v>
      </c>
    </row>
    <row r="43" spans="1:22" x14ac:dyDescent="0.3">
      <c r="A43" s="1" t="s">
        <v>417</v>
      </c>
      <c r="B43" s="1" t="s">
        <v>57</v>
      </c>
      <c r="C43" s="1">
        <v>70.400000000000006</v>
      </c>
      <c r="F43" s="6" t="s">
        <v>395</v>
      </c>
      <c r="G43" s="6" t="s">
        <v>57</v>
      </c>
      <c r="H43" s="6">
        <v>65.2</v>
      </c>
      <c r="J43" s="6" t="s">
        <v>376</v>
      </c>
      <c r="K43" s="6" t="s">
        <v>59</v>
      </c>
      <c r="L43" s="6">
        <v>62.6</v>
      </c>
    </row>
    <row r="44" spans="1:22" x14ac:dyDescent="0.3">
      <c r="A44" s="1" t="s">
        <v>416</v>
      </c>
      <c r="B44" s="1" t="s">
        <v>57</v>
      </c>
      <c r="C44" s="1">
        <v>59.8</v>
      </c>
      <c r="F44" s="6" t="s">
        <v>394</v>
      </c>
      <c r="G44" s="6" t="s">
        <v>57</v>
      </c>
      <c r="H44" s="6">
        <v>73.099999999999994</v>
      </c>
      <c r="J44" s="6" t="s">
        <v>375</v>
      </c>
      <c r="K44" s="6" t="s">
        <v>59</v>
      </c>
      <c r="L44" s="6">
        <v>80.5</v>
      </c>
    </row>
    <row r="45" spans="1:22" x14ac:dyDescent="0.3">
      <c r="A45" s="1" t="s">
        <v>415</v>
      </c>
      <c r="B45" s="1" t="s">
        <v>57</v>
      </c>
      <c r="C45" s="1">
        <v>81.900000000000006</v>
      </c>
      <c r="F45" s="6" t="s">
        <v>393</v>
      </c>
      <c r="G45" s="6" t="s">
        <v>57</v>
      </c>
      <c r="H45" s="6">
        <v>46.1</v>
      </c>
      <c r="J45" s="6" t="s">
        <v>374</v>
      </c>
      <c r="K45" s="6" t="s">
        <v>59</v>
      </c>
      <c r="L45" s="6">
        <v>72.400000000000006</v>
      </c>
    </row>
    <row r="46" spans="1:22" x14ac:dyDescent="0.3">
      <c r="A46" s="1" t="s">
        <v>414</v>
      </c>
      <c r="B46" s="1" t="s">
        <v>57</v>
      </c>
      <c r="C46" s="1">
        <v>69.400000000000006</v>
      </c>
      <c r="F46" s="6" t="s">
        <v>389</v>
      </c>
      <c r="G46" s="6" t="s">
        <v>57</v>
      </c>
      <c r="H46" s="6">
        <v>54.7</v>
      </c>
      <c r="J46" s="6" t="s">
        <v>372</v>
      </c>
      <c r="K46" s="6" t="s">
        <v>59</v>
      </c>
      <c r="L46" s="6">
        <v>73.7</v>
      </c>
    </row>
    <row r="47" spans="1:22" x14ac:dyDescent="0.3">
      <c r="A47" s="1" t="s">
        <v>413</v>
      </c>
      <c r="B47" s="1" t="s">
        <v>59</v>
      </c>
      <c r="C47" s="1">
        <v>64.5</v>
      </c>
      <c r="F47" s="6" t="s">
        <v>387</v>
      </c>
      <c r="G47" s="6" t="s">
        <v>57</v>
      </c>
      <c r="H47" s="6">
        <v>68.8</v>
      </c>
      <c r="J47" s="6" t="s">
        <v>371</v>
      </c>
      <c r="K47" s="6" t="s">
        <v>59</v>
      </c>
      <c r="L47" s="6">
        <v>89.7</v>
      </c>
    </row>
    <row r="48" spans="1:22" x14ac:dyDescent="0.3">
      <c r="A48" s="1" t="s">
        <v>412</v>
      </c>
      <c r="B48" s="1" t="s">
        <v>57</v>
      </c>
      <c r="C48" s="1">
        <v>69.7</v>
      </c>
      <c r="F48" s="6" t="s">
        <v>386</v>
      </c>
      <c r="G48" s="6" t="s">
        <v>57</v>
      </c>
      <c r="H48" s="6">
        <v>49.5</v>
      </c>
      <c r="J48" s="6" t="s">
        <v>368</v>
      </c>
      <c r="K48" s="6" t="s">
        <v>59</v>
      </c>
      <c r="L48" s="6">
        <v>55.4</v>
      </c>
    </row>
    <row r="49" spans="1:12" x14ac:dyDescent="0.3">
      <c r="A49" s="1" t="s">
        <v>411</v>
      </c>
      <c r="B49" s="1" t="s">
        <v>57</v>
      </c>
      <c r="C49" s="1">
        <v>78.5</v>
      </c>
      <c r="F49" s="6" t="s">
        <v>385</v>
      </c>
      <c r="G49" s="6" t="s">
        <v>57</v>
      </c>
      <c r="H49" s="6">
        <v>62.2</v>
      </c>
      <c r="J49" s="6" t="s">
        <v>367</v>
      </c>
      <c r="K49" s="6" t="s">
        <v>59</v>
      </c>
      <c r="L49" s="6">
        <v>61.1</v>
      </c>
    </row>
    <row r="50" spans="1:12" x14ac:dyDescent="0.3">
      <c r="A50" s="1" t="s">
        <v>410</v>
      </c>
      <c r="B50" s="1" t="s">
        <v>57</v>
      </c>
      <c r="C50" s="1">
        <v>60.7</v>
      </c>
      <c r="F50" s="6" t="s">
        <v>380</v>
      </c>
      <c r="G50" s="6" t="s">
        <v>57</v>
      </c>
      <c r="H50" s="6">
        <v>50.2</v>
      </c>
      <c r="J50" s="6" t="s">
        <v>365</v>
      </c>
      <c r="K50" s="6" t="s">
        <v>59</v>
      </c>
      <c r="L50" s="6">
        <v>48.6</v>
      </c>
    </row>
    <row r="51" spans="1:12" x14ac:dyDescent="0.3">
      <c r="A51" s="1" t="s">
        <v>409</v>
      </c>
      <c r="B51" s="1" t="s">
        <v>57</v>
      </c>
      <c r="C51" s="1">
        <v>68</v>
      </c>
      <c r="F51" s="6" t="s">
        <v>378</v>
      </c>
      <c r="G51" s="6" t="s">
        <v>57</v>
      </c>
      <c r="H51" s="6">
        <v>86.9</v>
      </c>
      <c r="J51" s="6" t="s">
        <v>363</v>
      </c>
      <c r="K51" s="6" t="s">
        <v>59</v>
      </c>
      <c r="L51" s="6">
        <v>42</v>
      </c>
    </row>
    <row r="52" spans="1:12" x14ac:dyDescent="0.3">
      <c r="A52" s="1" t="s">
        <v>408</v>
      </c>
      <c r="B52" s="1" t="s">
        <v>57</v>
      </c>
      <c r="C52" s="1">
        <v>86</v>
      </c>
      <c r="F52" s="6" t="s">
        <v>377</v>
      </c>
      <c r="G52" s="6" t="s">
        <v>57</v>
      </c>
      <c r="H52" s="6">
        <v>59.8</v>
      </c>
      <c r="J52" s="6" t="s">
        <v>362</v>
      </c>
      <c r="K52" s="6" t="s">
        <v>59</v>
      </c>
      <c r="L52" s="6">
        <v>63.2</v>
      </c>
    </row>
    <row r="53" spans="1:12" x14ac:dyDescent="0.3">
      <c r="A53" s="1" t="s">
        <v>407</v>
      </c>
      <c r="B53" s="1" t="s">
        <v>59</v>
      </c>
      <c r="C53" s="1">
        <v>81.099999999999994</v>
      </c>
      <c r="F53" s="6" t="s">
        <v>373</v>
      </c>
      <c r="G53" s="6" t="s">
        <v>57</v>
      </c>
      <c r="H53" s="6">
        <v>66.5</v>
      </c>
      <c r="J53" s="6" t="s">
        <v>361</v>
      </c>
      <c r="K53" s="6" t="s">
        <v>59</v>
      </c>
      <c r="L53" s="6">
        <v>77.5</v>
      </c>
    </row>
    <row r="54" spans="1:12" x14ac:dyDescent="0.3">
      <c r="A54" s="1" t="s">
        <v>406</v>
      </c>
      <c r="B54" s="1" t="s">
        <v>59</v>
      </c>
      <c r="C54" s="1">
        <v>70.099999999999994</v>
      </c>
      <c r="F54" s="6" t="s">
        <v>370</v>
      </c>
      <c r="G54" s="6" t="s">
        <v>57</v>
      </c>
      <c r="H54" s="6">
        <v>63.8</v>
      </c>
      <c r="J54" s="6" t="s">
        <v>360</v>
      </c>
      <c r="K54" s="6" t="s">
        <v>59</v>
      </c>
      <c r="L54" s="6">
        <v>79.3</v>
      </c>
    </row>
    <row r="55" spans="1:12" x14ac:dyDescent="0.3">
      <c r="A55" s="1" t="s">
        <v>405</v>
      </c>
      <c r="B55" s="1" t="s">
        <v>57</v>
      </c>
      <c r="C55" s="1">
        <v>93.2</v>
      </c>
      <c r="F55" s="6" t="s">
        <v>369</v>
      </c>
      <c r="G55" s="6" t="s">
        <v>57</v>
      </c>
      <c r="H55" s="6">
        <v>75.400000000000006</v>
      </c>
      <c r="J55" s="6" t="s">
        <v>358</v>
      </c>
      <c r="K55" s="6" t="s">
        <v>59</v>
      </c>
      <c r="L55" s="6">
        <v>68.5</v>
      </c>
    </row>
    <row r="56" spans="1:12" x14ac:dyDescent="0.3">
      <c r="A56" s="1" t="s">
        <v>404</v>
      </c>
      <c r="B56" s="1" t="s">
        <v>59</v>
      </c>
      <c r="C56" s="1">
        <v>55.3</v>
      </c>
      <c r="F56" s="6" t="s">
        <v>366</v>
      </c>
      <c r="G56" s="6" t="s">
        <v>57</v>
      </c>
      <c r="H56" s="6">
        <v>55.3</v>
      </c>
      <c r="J56" s="6" t="s">
        <v>350</v>
      </c>
      <c r="K56" s="6" t="s">
        <v>59</v>
      </c>
      <c r="L56" s="6">
        <v>90.5</v>
      </c>
    </row>
    <row r="57" spans="1:12" x14ac:dyDescent="0.3">
      <c r="A57" s="1" t="s">
        <v>403</v>
      </c>
      <c r="B57" s="1" t="s">
        <v>57</v>
      </c>
      <c r="C57" s="1">
        <v>73.400000000000006</v>
      </c>
      <c r="F57" s="6" t="s">
        <v>364</v>
      </c>
      <c r="G57" s="6" t="s">
        <v>57</v>
      </c>
      <c r="H57" s="6">
        <v>58.7</v>
      </c>
      <c r="J57" s="6" t="s">
        <v>349</v>
      </c>
      <c r="K57" s="6" t="s">
        <v>59</v>
      </c>
      <c r="L57" s="6">
        <v>66.3</v>
      </c>
    </row>
    <row r="58" spans="1:12" x14ac:dyDescent="0.3">
      <c r="A58" s="1" t="s">
        <v>402</v>
      </c>
      <c r="B58" s="1" t="s">
        <v>59</v>
      </c>
      <c r="C58" s="1">
        <v>57.8</v>
      </c>
      <c r="F58" s="6" t="s">
        <v>359</v>
      </c>
      <c r="G58" s="6" t="s">
        <v>57</v>
      </c>
      <c r="H58" s="6">
        <v>54.5</v>
      </c>
      <c r="J58" s="6" t="s">
        <v>347</v>
      </c>
      <c r="K58" s="6" t="s">
        <v>59</v>
      </c>
      <c r="L58" s="6">
        <v>78.099999999999994</v>
      </c>
    </row>
    <row r="59" spans="1:12" x14ac:dyDescent="0.3">
      <c r="A59" s="1" t="s">
        <v>401</v>
      </c>
      <c r="B59" s="1" t="s">
        <v>57</v>
      </c>
      <c r="C59" s="1">
        <v>68.099999999999994</v>
      </c>
      <c r="F59" s="6" t="s">
        <v>357</v>
      </c>
      <c r="G59" s="6" t="s">
        <v>57</v>
      </c>
      <c r="H59" s="6">
        <v>65.7</v>
      </c>
      <c r="J59" s="6" t="s">
        <v>346</v>
      </c>
      <c r="K59" s="6" t="s">
        <v>59</v>
      </c>
      <c r="L59" s="6">
        <v>72.900000000000006</v>
      </c>
    </row>
    <row r="60" spans="1:12" x14ac:dyDescent="0.3">
      <c r="A60" s="1" t="s">
        <v>400</v>
      </c>
      <c r="B60" s="1" t="s">
        <v>57</v>
      </c>
      <c r="C60" s="1">
        <v>81.599999999999994</v>
      </c>
      <c r="F60" s="6" t="s">
        <v>356</v>
      </c>
      <c r="G60" s="6" t="s">
        <v>57</v>
      </c>
      <c r="H60" s="6">
        <v>85.7</v>
      </c>
      <c r="J60" s="6" t="s">
        <v>345</v>
      </c>
      <c r="K60" s="6" t="s">
        <v>59</v>
      </c>
      <c r="L60" s="6">
        <v>90.1</v>
      </c>
    </row>
    <row r="61" spans="1:12" x14ac:dyDescent="0.3">
      <c r="A61" s="1" t="s">
        <v>399</v>
      </c>
      <c r="B61" s="1" t="s">
        <v>57</v>
      </c>
      <c r="C61" s="1">
        <v>55.3</v>
      </c>
      <c r="F61" s="6" t="s">
        <v>355</v>
      </c>
      <c r="G61" s="6" t="s">
        <v>57</v>
      </c>
      <c r="H61" s="6">
        <v>78.8</v>
      </c>
      <c r="J61" s="6" t="s">
        <v>344</v>
      </c>
      <c r="K61" s="6" t="s">
        <v>59</v>
      </c>
      <c r="L61" s="6">
        <v>79.2</v>
      </c>
    </row>
    <row r="62" spans="1:12" x14ac:dyDescent="0.3">
      <c r="A62" s="1" t="s">
        <v>398</v>
      </c>
      <c r="B62" s="1" t="s">
        <v>57</v>
      </c>
      <c r="C62" s="1">
        <v>59</v>
      </c>
      <c r="F62" s="6" t="s">
        <v>354</v>
      </c>
      <c r="G62" s="6" t="s">
        <v>57</v>
      </c>
      <c r="H62" s="6">
        <v>79.099999999999994</v>
      </c>
      <c r="J62" s="6" t="s">
        <v>341</v>
      </c>
      <c r="K62" s="6" t="s">
        <v>59</v>
      </c>
      <c r="L62" s="6">
        <v>68.5</v>
      </c>
    </row>
    <row r="63" spans="1:12" x14ac:dyDescent="0.3">
      <c r="A63" s="1" t="s">
        <v>397</v>
      </c>
      <c r="B63" s="1" t="s">
        <v>59</v>
      </c>
      <c r="C63" s="1">
        <v>61</v>
      </c>
      <c r="F63" s="6" t="s">
        <v>353</v>
      </c>
      <c r="G63" s="6" t="s">
        <v>57</v>
      </c>
      <c r="H63" s="6">
        <v>80.400000000000006</v>
      </c>
      <c r="J63" s="6" t="s">
        <v>340</v>
      </c>
      <c r="K63" s="6" t="s">
        <v>59</v>
      </c>
      <c r="L63" s="6">
        <v>68.5</v>
      </c>
    </row>
    <row r="64" spans="1:12" x14ac:dyDescent="0.3">
      <c r="A64" s="1" t="s">
        <v>396</v>
      </c>
      <c r="B64" s="1" t="s">
        <v>59</v>
      </c>
      <c r="C64" s="1">
        <v>78.099999999999994</v>
      </c>
      <c r="F64" s="6" t="s">
        <v>352</v>
      </c>
      <c r="G64" s="6" t="s">
        <v>57</v>
      </c>
      <c r="H64" s="6">
        <v>72.400000000000006</v>
      </c>
      <c r="J64" s="6" t="s">
        <v>339</v>
      </c>
      <c r="K64" s="6" t="s">
        <v>59</v>
      </c>
      <c r="L64" s="6">
        <v>78.7</v>
      </c>
    </row>
    <row r="65" spans="1:12" x14ac:dyDescent="0.3">
      <c r="A65" s="1" t="s">
        <v>395</v>
      </c>
      <c r="B65" s="1" t="s">
        <v>57</v>
      </c>
      <c r="C65" s="1">
        <v>65.2</v>
      </c>
      <c r="F65" s="6" t="s">
        <v>351</v>
      </c>
      <c r="G65" s="6" t="s">
        <v>57</v>
      </c>
      <c r="H65" s="6">
        <v>78</v>
      </c>
      <c r="J65" s="6" t="s">
        <v>335</v>
      </c>
      <c r="K65" s="6" t="s">
        <v>59</v>
      </c>
      <c r="L65" s="6">
        <v>93.6</v>
      </c>
    </row>
    <row r="66" spans="1:12" x14ac:dyDescent="0.3">
      <c r="A66" s="1" t="s">
        <v>394</v>
      </c>
      <c r="B66" s="1" t="s">
        <v>57</v>
      </c>
      <c r="C66" s="1">
        <v>73.099999999999994</v>
      </c>
      <c r="F66" s="6" t="s">
        <v>348</v>
      </c>
      <c r="G66" s="6" t="s">
        <v>57</v>
      </c>
      <c r="H66" s="6">
        <v>47.3</v>
      </c>
      <c r="J66" s="6" t="s">
        <v>332</v>
      </c>
      <c r="K66" s="6" t="s">
        <v>59</v>
      </c>
      <c r="L66" s="6">
        <v>65</v>
      </c>
    </row>
    <row r="67" spans="1:12" x14ac:dyDescent="0.3">
      <c r="A67" s="1" t="s">
        <v>393</v>
      </c>
      <c r="B67" s="1" t="s">
        <v>57</v>
      </c>
      <c r="C67" s="1">
        <v>46.1</v>
      </c>
      <c r="F67" s="6" t="s">
        <v>343</v>
      </c>
      <c r="G67" s="6" t="s">
        <v>57</v>
      </c>
      <c r="H67" s="6">
        <v>76.400000000000006</v>
      </c>
      <c r="J67" s="6" t="s">
        <v>331</v>
      </c>
      <c r="K67" s="6" t="s">
        <v>59</v>
      </c>
      <c r="L67" s="6">
        <v>86.2</v>
      </c>
    </row>
    <row r="68" spans="1:12" x14ac:dyDescent="0.3">
      <c r="A68" s="1" t="s">
        <v>392</v>
      </c>
      <c r="B68" s="1" t="s">
        <v>59</v>
      </c>
      <c r="C68" s="1">
        <v>80.900000000000006</v>
      </c>
      <c r="F68" s="6" t="s">
        <v>342</v>
      </c>
      <c r="G68" s="6" t="s">
        <v>57</v>
      </c>
      <c r="H68" s="6">
        <v>70.2</v>
      </c>
      <c r="J68" s="6" t="s">
        <v>329</v>
      </c>
      <c r="K68" s="6" t="s">
        <v>59</v>
      </c>
      <c r="L68" s="6">
        <v>76.7</v>
      </c>
    </row>
    <row r="69" spans="1:12" x14ac:dyDescent="0.3">
      <c r="A69" s="1" t="s">
        <v>391</v>
      </c>
      <c r="B69" s="1" t="s">
        <v>59</v>
      </c>
      <c r="C69" s="1">
        <v>64.2</v>
      </c>
      <c r="F69" s="6" t="s">
        <v>338</v>
      </c>
      <c r="G69" s="6" t="s">
        <v>57</v>
      </c>
      <c r="H69" s="6">
        <v>55.6</v>
      </c>
      <c r="J69" s="6" t="s">
        <v>328</v>
      </c>
      <c r="K69" s="6" t="s">
        <v>59</v>
      </c>
      <c r="L69" s="6">
        <v>86.1</v>
      </c>
    </row>
    <row r="70" spans="1:12" x14ac:dyDescent="0.3">
      <c r="A70" s="1" t="s">
        <v>390</v>
      </c>
      <c r="B70" s="1" t="s">
        <v>59</v>
      </c>
      <c r="C70" s="1">
        <v>96.4</v>
      </c>
      <c r="F70" s="6" t="s">
        <v>337</v>
      </c>
      <c r="G70" s="6" t="s">
        <v>57</v>
      </c>
      <c r="H70" s="6">
        <v>84.4</v>
      </c>
      <c r="J70" s="6" t="s">
        <v>326</v>
      </c>
      <c r="K70" s="6" t="s">
        <v>59</v>
      </c>
      <c r="L70" s="6">
        <v>76.7</v>
      </c>
    </row>
    <row r="71" spans="1:12" x14ac:dyDescent="0.3">
      <c r="A71" s="1" t="s">
        <v>389</v>
      </c>
      <c r="B71" s="1" t="s">
        <v>57</v>
      </c>
      <c r="C71" s="1">
        <v>54.7</v>
      </c>
      <c r="F71" s="6" t="s">
        <v>336</v>
      </c>
      <c r="G71" s="6" t="s">
        <v>57</v>
      </c>
      <c r="H71" s="6">
        <v>84.5</v>
      </c>
      <c r="J71" s="6" t="s">
        <v>322</v>
      </c>
      <c r="K71" s="6" t="s">
        <v>59</v>
      </c>
      <c r="L71" s="6">
        <v>73</v>
      </c>
    </row>
    <row r="72" spans="1:12" x14ac:dyDescent="0.3">
      <c r="A72" s="1" t="s">
        <v>388</v>
      </c>
      <c r="B72" s="1" t="s">
        <v>59</v>
      </c>
      <c r="C72" s="1">
        <v>78.5</v>
      </c>
      <c r="F72" s="6" t="s">
        <v>334</v>
      </c>
      <c r="G72" s="6" t="s">
        <v>57</v>
      </c>
      <c r="H72" s="6">
        <v>67.2</v>
      </c>
      <c r="J72" s="6" t="s">
        <v>321</v>
      </c>
      <c r="K72" s="6" t="s">
        <v>59</v>
      </c>
      <c r="L72" s="6">
        <v>68.7</v>
      </c>
    </row>
    <row r="73" spans="1:12" x14ac:dyDescent="0.3">
      <c r="A73" s="1" t="s">
        <v>387</v>
      </c>
      <c r="B73" s="1" t="s">
        <v>57</v>
      </c>
      <c r="C73" s="1">
        <v>68.8</v>
      </c>
      <c r="F73" s="6" t="s">
        <v>333</v>
      </c>
      <c r="G73" s="6" t="s">
        <v>57</v>
      </c>
      <c r="H73" s="6">
        <v>59.3</v>
      </c>
      <c r="J73" s="6" t="s">
        <v>320</v>
      </c>
      <c r="K73" s="6" t="s">
        <v>59</v>
      </c>
      <c r="L73" s="6">
        <v>76</v>
      </c>
    </row>
    <row r="74" spans="1:12" x14ac:dyDescent="0.3">
      <c r="A74" s="1" t="s">
        <v>386</v>
      </c>
      <c r="B74" s="1" t="s">
        <v>57</v>
      </c>
      <c r="C74" s="1">
        <v>49.5</v>
      </c>
      <c r="F74" s="6" t="s">
        <v>330</v>
      </c>
      <c r="G74" s="6" t="s">
        <v>57</v>
      </c>
      <c r="H74" s="6">
        <v>84.3</v>
      </c>
      <c r="J74" s="6" t="s">
        <v>319</v>
      </c>
      <c r="K74" s="6" t="s">
        <v>59</v>
      </c>
      <c r="L74" s="6">
        <v>74.099999999999994</v>
      </c>
    </row>
    <row r="75" spans="1:12" x14ac:dyDescent="0.3">
      <c r="A75" s="1" t="s">
        <v>385</v>
      </c>
      <c r="B75" s="1" t="s">
        <v>57</v>
      </c>
      <c r="C75" s="1">
        <v>62.2</v>
      </c>
      <c r="F75" s="6" t="s">
        <v>327</v>
      </c>
      <c r="G75" s="6" t="s">
        <v>57</v>
      </c>
      <c r="H75" s="6">
        <v>66.3</v>
      </c>
      <c r="J75" s="6" t="s">
        <v>316</v>
      </c>
      <c r="K75" s="6" t="s">
        <v>59</v>
      </c>
      <c r="L75" s="6">
        <v>77.8</v>
      </c>
    </row>
    <row r="76" spans="1:12" x14ac:dyDescent="0.3">
      <c r="A76" s="1" t="s">
        <v>384</v>
      </c>
      <c r="B76" s="1" t="s">
        <v>59</v>
      </c>
      <c r="C76" s="1">
        <v>78.5</v>
      </c>
      <c r="F76" s="6" t="s">
        <v>325</v>
      </c>
      <c r="G76" s="6" t="s">
        <v>57</v>
      </c>
      <c r="H76" s="6">
        <v>89</v>
      </c>
      <c r="J76" s="6" t="s">
        <v>313</v>
      </c>
      <c r="K76" s="6" t="s">
        <v>59</v>
      </c>
      <c r="L76" s="6">
        <v>59.5</v>
      </c>
    </row>
    <row r="77" spans="1:12" x14ac:dyDescent="0.3">
      <c r="A77" s="1" t="s">
        <v>383</v>
      </c>
      <c r="B77" s="1" t="s">
        <v>59</v>
      </c>
      <c r="C77" s="1">
        <v>74.400000000000006</v>
      </c>
      <c r="F77" s="6" t="s">
        <v>324</v>
      </c>
      <c r="G77" s="6" t="s">
        <v>57</v>
      </c>
      <c r="H77" s="6">
        <v>41</v>
      </c>
      <c r="J77" s="6" t="s">
        <v>309</v>
      </c>
      <c r="K77" s="6" t="s">
        <v>59</v>
      </c>
      <c r="L77" s="6">
        <v>74.3</v>
      </c>
    </row>
    <row r="78" spans="1:12" x14ac:dyDescent="0.3">
      <c r="A78" s="1" t="s">
        <v>382</v>
      </c>
      <c r="B78" s="1" t="s">
        <v>59</v>
      </c>
      <c r="C78" s="1">
        <v>71.400000000000006</v>
      </c>
      <c r="F78" s="6" t="s">
        <v>323</v>
      </c>
      <c r="G78" s="6" t="s">
        <v>57</v>
      </c>
      <c r="H78" s="6">
        <v>68</v>
      </c>
      <c r="J78" s="6" t="s">
        <v>307</v>
      </c>
      <c r="K78" s="6" t="s">
        <v>59</v>
      </c>
      <c r="L78" s="6">
        <v>70.2</v>
      </c>
    </row>
    <row r="79" spans="1:12" x14ac:dyDescent="0.3">
      <c r="A79" s="1" t="s">
        <v>381</v>
      </c>
      <c r="B79" s="1" t="s">
        <v>59</v>
      </c>
      <c r="C79" s="1">
        <v>78.400000000000006</v>
      </c>
      <c r="F79" s="6" t="s">
        <v>318</v>
      </c>
      <c r="G79" s="6" t="s">
        <v>57</v>
      </c>
      <c r="H79" s="6">
        <v>61.7</v>
      </c>
      <c r="J79" s="6" t="s">
        <v>306</v>
      </c>
      <c r="K79" s="6" t="s">
        <v>59</v>
      </c>
      <c r="L79" s="6">
        <v>72</v>
      </c>
    </row>
    <row r="80" spans="1:12" x14ac:dyDescent="0.3">
      <c r="A80" s="1" t="s">
        <v>380</v>
      </c>
      <c r="B80" s="1" t="s">
        <v>57</v>
      </c>
      <c r="C80" s="1">
        <v>50.2</v>
      </c>
      <c r="F80" s="6" t="s">
        <v>317</v>
      </c>
      <c r="G80" s="6" t="s">
        <v>57</v>
      </c>
      <c r="H80" s="6">
        <v>71</v>
      </c>
      <c r="J80" s="6" t="s">
        <v>300</v>
      </c>
      <c r="K80" s="6" t="s">
        <v>59</v>
      </c>
      <c r="L80" s="6">
        <v>56</v>
      </c>
    </row>
    <row r="81" spans="1:12" x14ac:dyDescent="0.3">
      <c r="A81" s="1" t="s">
        <v>379</v>
      </c>
      <c r="B81" s="1" t="s">
        <v>59</v>
      </c>
      <c r="C81" s="1">
        <v>78.400000000000006</v>
      </c>
      <c r="F81" s="6" t="s">
        <v>315</v>
      </c>
      <c r="G81" s="6" t="s">
        <v>57</v>
      </c>
      <c r="H81" s="6">
        <v>64.7</v>
      </c>
      <c r="J81" s="6" t="s">
        <v>299</v>
      </c>
      <c r="K81" s="6" t="s">
        <v>59</v>
      </c>
      <c r="L81" s="6">
        <v>75.7</v>
      </c>
    </row>
    <row r="82" spans="1:12" x14ac:dyDescent="0.3">
      <c r="A82" s="1" t="s">
        <v>378</v>
      </c>
      <c r="B82" s="1" t="s">
        <v>57</v>
      </c>
      <c r="C82" s="1">
        <v>86.9</v>
      </c>
      <c r="F82" s="6" t="s">
        <v>314</v>
      </c>
      <c r="G82" s="6" t="s">
        <v>57</v>
      </c>
      <c r="H82" s="6">
        <v>79.400000000000006</v>
      </c>
      <c r="J82" s="6" t="s">
        <v>298</v>
      </c>
      <c r="K82" s="6" t="s">
        <v>59</v>
      </c>
      <c r="L82" s="6">
        <v>89.8</v>
      </c>
    </row>
    <row r="83" spans="1:12" x14ac:dyDescent="0.3">
      <c r="A83" s="1" t="s">
        <v>377</v>
      </c>
      <c r="B83" s="1" t="s">
        <v>57</v>
      </c>
      <c r="C83" s="1">
        <v>59.8</v>
      </c>
      <c r="F83" s="6" t="s">
        <v>312</v>
      </c>
      <c r="G83" s="6" t="s">
        <v>57</v>
      </c>
      <c r="H83" s="6">
        <v>67</v>
      </c>
      <c r="J83" s="6" t="s">
        <v>297</v>
      </c>
      <c r="K83" s="6" t="s">
        <v>59</v>
      </c>
      <c r="L83" s="6">
        <v>67.599999999999994</v>
      </c>
    </row>
    <row r="84" spans="1:12" x14ac:dyDescent="0.3">
      <c r="A84" s="1" t="s">
        <v>376</v>
      </c>
      <c r="B84" s="1" t="s">
        <v>59</v>
      </c>
      <c r="C84" s="1">
        <v>62.6</v>
      </c>
      <c r="F84" s="6" t="s">
        <v>311</v>
      </c>
      <c r="G84" s="6" t="s">
        <v>57</v>
      </c>
      <c r="H84" s="6">
        <v>69</v>
      </c>
      <c r="J84" s="6" t="s">
        <v>296</v>
      </c>
      <c r="K84" s="6" t="s">
        <v>59</v>
      </c>
      <c r="L84" s="6">
        <v>64.900000000000006</v>
      </c>
    </row>
    <row r="85" spans="1:12" x14ac:dyDescent="0.3">
      <c r="A85" s="1" t="s">
        <v>375</v>
      </c>
      <c r="B85" s="1" t="s">
        <v>59</v>
      </c>
      <c r="C85" s="1">
        <v>80.5</v>
      </c>
      <c r="F85" s="6" t="s">
        <v>310</v>
      </c>
      <c r="G85" s="6" t="s">
        <v>57</v>
      </c>
      <c r="H85" s="6">
        <v>74.3</v>
      </c>
      <c r="J85" s="6" t="s">
        <v>294</v>
      </c>
      <c r="K85" s="6" t="s">
        <v>59</v>
      </c>
      <c r="L85" s="6">
        <v>75.599999999999994</v>
      </c>
    </row>
    <row r="86" spans="1:12" x14ac:dyDescent="0.3">
      <c r="A86" s="1" t="s">
        <v>374</v>
      </c>
      <c r="B86" s="1" t="s">
        <v>59</v>
      </c>
      <c r="C86" s="1">
        <v>72.400000000000006</v>
      </c>
      <c r="F86" s="6" t="s">
        <v>308</v>
      </c>
      <c r="G86" s="6" t="s">
        <v>57</v>
      </c>
      <c r="H86" s="6">
        <v>70.3</v>
      </c>
      <c r="J86" s="6" t="s">
        <v>292</v>
      </c>
      <c r="K86" s="6" t="s">
        <v>59</v>
      </c>
      <c r="L86" s="6">
        <v>69.099999999999994</v>
      </c>
    </row>
    <row r="87" spans="1:12" x14ac:dyDescent="0.3">
      <c r="A87" s="1" t="s">
        <v>373</v>
      </c>
      <c r="B87" s="1" t="s">
        <v>57</v>
      </c>
      <c r="C87" s="1">
        <v>66.5</v>
      </c>
      <c r="F87" s="6" t="s">
        <v>305</v>
      </c>
      <c r="G87" s="6" t="s">
        <v>57</v>
      </c>
      <c r="H87" s="6">
        <v>78.8</v>
      </c>
      <c r="J87" s="6" t="s">
        <v>289</v>
      </c>
      <c r="K87" s="6" t="s">
        <v>59</v>
      </c>
      <c r="L87" s="6">
        <v>78.7</v>
      </c>
    </row>
    <row r="88" spans="1:12" x14ac:dyDescent="0.3">
      <c r="A88" s="1" t="s">
        <v>372</v>
      </c>
      <c r="B88" s="1" t="s">
        <v>59</v>
      </c>
      <c r="C88" s="1">
        <v>73.7</v>
      </c>
      <c r="F88" s="6" t="s">
        <v>304</v>
      </c>
      <c r="G88" s="6" t="s">
        <v>57</v>
      </c>
      <c r="H88" s="6">
        <v>80.8</v>
      </c>
      <c r="J88" s="6" t="s">
        <v>283</v>
      </c>
      <c r="K88" s="6" t="s">
        <v>59</v>
      </c>
      <c r="L88" s="6">
        <v>54.6</v>
      </c>
    </row>
    <row r="89" spans="1:12" x14ac:dyDescent="0.3">
      <c r="A89" s="1" t="s">
        <v>371</v>
      </c>
      <c r="B89" s="1" t="s">
        <v>59</v>
      </c>
      <c r="C89" s="1">
        <v>89.7</v>
      </c>
      <c r="F89" s="6" t="s">
        <v>303</v>
      </c>
      <c r="G89" s="6" t="s">
        <v>57</v>
      </c>
      <c r="H89" s="6">
        <v>65.2</v>
      </c>
      <c r="J89" s="6" t="s">
        <v>281</v>
      </c>
      <c r="K89" s="6" t="s">
        <v>59</v>
      </c>
      <c r="L89" s="6">
        <v>85</v>
      </c>
    </row>
    <row r="90" spans="1:12" x14ac:dyDescent="0.3">
      <c r="A90" s="1" t="s">
        <v>370</v>
      </c>
      <c r="B90" s="1" t="s">
        <v>57</v>
      </c>
      <c r="C90" s="1">
        <v>63.8</v>
      </c>
      <c r="F90" s="6" t="s">
        <v>302</v>
      </c>
      <c r="G90" s="6" t="s">
        <v>57</v>
      </c>
      <c r="H90" s="6">
        <v>79.400000000000006</v>
      </c>
      <c r="J90" s="6" t="s">
        <v>272</v>
      </c>
      <c r="K90" s="6" t="s">
        <v>59</v>
      </c>
      <c r="L90" s="6">
        <v>65.7</v>
      </c>
    </row>
    <row r="91" spans="1:12" x14ac:dyDescent="0.3">
      <c r="A91" s="1" t="s">
        <v>369</v>
      </c>
      <c r="B91" s="1" t="s">
        <v>57</v>
      </c>
      <c r="C91" s="1">
        <v>75.400000000000006</v>
      </c>
      <c r="F91" s="6" t="s">
        <v>301</v>
      </c>
      <c r="G91" s="6" t="s">
        <v>57</v>
      </c>
      <c r="H91" s="6">
        <v>73.599999999999994</v>
      </c>
      <c r="J91" s="6" t="s">
        <v>271</v>
      </c>
      <c r="K91" s="6" t="s">
        <v>59</v>
      </c>
      <c r="L91" s="6">
        <v>81.900000000000006</v>
      </c>
    </row>
    <row r="92" spans="1:12" x14ac:dyDescent="0.3">
      <c r="A92" s="1" t="s">
        <v>368</v>
      </c>
      <c r="B92" s="1" t="s">
        <v>59</v>
      </c>
      <c r="C92" s="1">
        <v>55.4</v>
      </c>
      <c r="F92" s="6" t="s">
        <v>295</v>
      </c>
      <c r="G92" s="6" t="s">
        <v>57</v>
      </c>
      <c r="H92" s="6">
        <v>69</v>
      </c>
      <c r="J92" s="6" t="s">
        <v>270</v>
      </c>
      <c r="K92" s="6" t="s">
        <v>59</v>
      </c>
      <c r="L92" s="6">
        <v>69.400000000000006</v>
      </c>
    </row>
    <row r="93" spans="1:12" x14ac:dyDescent="0.3">
      <c r="A93" s="1" t="s">
        <v>367</v>
      </c>
      <c r="B93" s="1" t="s">
        <v>59</v>
      </c>
      <c r="C93" s="1">
        <v>61.1</v>
      </c>
      <c r="F93" s="6" t="s">
        <v>293</v>
      </c>
      <c r="G93" s="6" t="s">
        <v>57</v>
      </c>
      <c r="H93" s="6">
        <v>82.1</v>
      </c>
      <c r="J93" s="6" t="s">
        <v>266</v>
      </c>
      <c r="K93" s="6" t="s">
        <v>59</v>
      </c>
      <c r="L93" s="6">
        <v>80.599999999999994</v>
      </c>
    </row>
    <row r="94" spans="1:12" x14ac:dyDescent="0.3">
      <c r="A94" s="1" t="s">
        <v>366</v>
      </c>
      <c r="B94" s="1" t="s">
        <v>57</v>
      </c>
      <c r="C94" s="1">
        <v>55.3</v>
      </c>
      <c r="F94" s="6" t="s">
        <v>291</v>
      </c>
      <c r="G94" s="6" t="s">
        <v>57</v>
      </c>
      <c r="H94" s="6">
        <v>72.900000000000006</v>
      </c>
      <c r="J94" s="6" t="s">
        <v>264</v>
      </c>
      <c r="K94" s="6" t="s">
        <v>59</v>
      </c>
      <c r="L94" s="6">
        <v>66.900000000000006</v>
      </c>
    </row>
    <row r="95" spans="1:12" x14ac:dyDescent="0.3">
      <c r="A95" s="1" t="s">
        <v>365</v>
      </c>
      <c r="B95" s="1" t="s">
        <v>59</v>
      </c>
      <c r="C95" s="1">
        <v>48.6</v>
      </c>
      <c r="F95" s="6" t="s">
        <v>290</v>
      </c>
      <c r="G95" s="6" t="s">
        <v>57</v>
      </c>
      <c r="H95" s="6">
        <v>53.9</v>
      </c>
      <c r="J95" s="6" t="s">
        <v>263</v>
      </c>
      <c r="K95" s="6" t="s">
        <v>59</v>
      </c>
      <c r="L95" s="6">
        <v>55.9</v>
      </c>
    </row>
    <row r="96" spans="1:12" x14ac:dyDescent="0.3">
      <c r="A96" s="1" t="s">
        <v>364</v>
      </c>
      <c r="B96" s="1" t="s">
        <v>57</v>
      </c>
      <c r="C96" s="1">
        <v>58.7</v>
      </c>
      <c r="F96" s="6" t="s">
        <v>288</v>
      </c>
      <c r="G96" s="6" t="s">
        <v>57</v>
      </c>
      <c r="H96" s="6">
        <v>87.6</v>
      </c>
      <c r="J96" s="6" t="s">
        <v>262</v>
      </c>
      <c r="K96" s="6" t="s">
        <v>59</v>
      </c>
      <c r="L96" s="6">
        <v>61.7</v>
      </c>
    </row>
    <row r="97" spans="1:12" x14ac:dyDescent="0.3">
      <c r="A97" s="1" t="s">
        <v>363</v>
      </c>
      <c r="B97" s="1" t="s">
        <v>59</v>
      </c>
      <c r="C97" s="1">
        <v>42</v>
      </c>
      <c r="F97" s="6" t="s">
        <v>287</v>
      </c>
      <c r="G97" s="6" t="s">
        <v>57</v>
      </c>
      <c r="H97" s="6">
        <v>31.9</v>
      </c>
      <c r="J97" s="6" t="s">
        <v>261</v>
      </c>
      <c r="K97" s="6" t="s">
        <v>59</v>
      </c>
      <c r="L97" s="6">
        <v>87.5</v>
      </c>
    </row>
    <row r="98" spans="1:12" x14ac:dyDescent="0.3">
      <c r="A98" s="1" t="s">
        <v>362</v>
      </c>
      <c r="B98" s="1" t="s">
        <v>59</v>
      </c>
      <c r="C98" s="1">
        <v>63.2</v>
      </c>
      <c r="F98" s="6" t="s">
        <v>286</v>
      </c>
      <c r="G98" s="6" t="s">
        <v>57</v>
      </c>
      <c r="H98" s="6">
        <v>79.900000000000006</v>
      </c>
      <c r="J98" s="6" t="s">
        <v>260</v>
      </c>
      <c r="K98" s="6" t="s">
        <v>59</v>
      </c>
      <c r="L98" s="6">
        <v>71.8</v>
      </c>
    </row>
    <row r="99" spans="1:12" x14ac:dyDescent="0.3">
      <c r="A99" s="1" t="s">
        <v>361</v>
      </c>
      <c r="B99" s="1" t="s">
        <v>59</v>
      </c>
      <c r="C99" s="1">
        <v>77.5</v>
      </c>
      <c r="F99" s="6" t="s">
        <v>285</v>
      </c>
      <c r="G99" s="6" t="s">
        <v>57</v>
      </c>
      <c r="H99" s="6">
        <v>66.7</v>
      </c>
      <c r="J99" s="6" t="s">
        <v>259</v>
      </c>
      <c r="K99" s="6" t="s">
        <v>59</v>
      </c>
      <c r="L99" s="6">
        <v>73.900000000000006</v>
      </c>
    </row>
    <row r="100" spans="1:12" x14ac:dyDescent="0.3">
      <c r="A100" s="1" t="s">
        <v>360</v>
      </c>
      <c r="B100" s="1" t="s">
        <v>59</v>
      </c>
      <c r="C100" s="1">
        <v>79.3</v>
      </c>
      <c r="F100" s="6" t="s">
        <v>284</v>
      </c>
      <c r="G100" s="6" t="s">
        <v>57</v>
      </c>
      <c r="H100" s="6">
        <v>64</v>
      </c>
      <c r="J100" s="6" t="s">
        <v>257</v>
      </c>
      <c r="K100" s="6" t="s">
        <v>59</v>
      </c>
      <c r="L100" s="6">
        <v>91.4</v>
      </c>
    </row>
    <row r="101" spans="1:12" x14ac:dyDescent="0.3">
      <c r="A101" s="1" t="s">
        <v>359</v>
      </c>
      <c r="B101" s="1" t="s">
        <v>57</v>
      </c>
      <c r="C101" s="1">
        <v>54.5</v>
      </c>
      <c r="F101" s="6" t="s">
        <v>282</v>
      </c>
      <c r="G101" s="6" t="s">
        <v>57</v>
      </c>
      <c r="H101" s="6">
        <v>71.5</v>
      </c>
      <c r="J101" s="6" t="s">
        <v>256</v>
      </c>
      <c r="K101" s="6" t="s">
        <v>59</v>
      </c>
      <c r="L101" s="6">
        <v>56.6</v>
      </c>
    </row>
    <row r="102" spans="1:12" x14ac:dyDescent="0.3">
      <c r="A102" s="1" t="s">
        <v>358</v>
      </c>
      <c r="B102" s="1" t="s">
        <v>59</v>
      </c>
      <c r="C102" s="1">
        <v>68.5</v>
      </c>
      <c r="F102" s="6" t="s">
        <v>280</v>
      </c>
      <c r="G102" s="6" t="s">
        <v>57</v>
      </c>
      <c r="H102" s="6">
        <v>79.8</v>
      </c>
      <c r="J102" s="6" t="s">
        <v>255</v>
      </c>
      <c r="K102" s="6" t="s">
        <v>59</v>
      </c>
      <c r="L102" s="6">
        <v>60.1</v>
      </c>
    </row>
    <row r="103" spans="1:12" x14ac:dyDescent="0.3">
      <c r="A103" s="1" t="s">
        <v>357</v>
      </c>
      <c r="B103" s="1" t="s">
        <v>57</v>
      </c>
      <c r="C103" s="1">
        <v>65.7</v>
      </c>
      <c r="F103" s="6" t="s">
        <v>279</v>
      </c>
      <c r="G103" s="6" t="s">
        <v>57</v>
      </c>
      <c r="H103" s="6">
        <v>59.2</v>
      </c>
      <c r="J103" s="6" t="s">
        <v>254</v>
      </c>
      <c r="K103" s="6" t="s">
        <v>59</v>
      </c>
      <c r="L103" s="6">
        <v>72.2</v>
      </c>
    </row>
    <row r="104" spans="1:12" x14ac:dyDescent="0.3">
      <c r="A104" s="1" t="s">
        <v>356</v>
      </c>
      <c r="B104" s="1" t="s">
        <v>57</v>
      </c>
      <c r="C104" s="1">
        <v>85.7</v>
      </c>
      <c r="F104" s="6" t="s">
        <v>278</v>
      </c>
      <c r="G104" s="6" t="s">
        <v>57</v>
      </c>
      <c r="H104" s="6">
        <v>71.8</v>
      </c>
      <c r="J104" s="6" t="s">
        <v>250</v>
      </c>
      <c r="K104" s="6" t="s">
        <v>59</v>
      </c>
      <c r="L104" s="6">
        <v>76.7</v>
      </c>
    </row>
    <row r="105" spans="1:12" x14ac:dyDescent="0.3">
      <c r="A105" s="1" t="s">
        <v>355</v>
      </c>
      <c r="B105" s="1" t="s">
        <v>57</v>
      </c>
      <c r="C105" s="1">
        <v>78.8</v>
      </c>
      <c r="F105" s="6" t="s">
        <v>277</v>
      </c>
      <c r="G105" s="6" t="s">
        <v>57</v>
      </c>
      <c r="H105" s="6">
        <v>46.7</v>
      </c>
      <c r="J105" s="6" t="s">
        <v>248</v>
      </c>
      <c r="K105" s="6" t="s">
        <v>59</v>
      </c>
      <c r="L105" s="6">
        <v>86.6</v>
      </c>
    </row>
    <row r="106" spans="1:12" x14ac:dyDescent="0.3">
      <c r="A106" s="1" t="s">
        <v>354</v>
      </c>
      <c r="B106" s="1" t="s">
        <v>57</v>
      </c>
      <c r="C106" s="1">
        <v>79.099999999999994</v>
      </c>
      <c r="F106" s="6" t="s">
        <v>276</v>
      </c>
      <c r="G106" s="6" t="s">
        <v>57</v>
      </c>
      <c r="H106" s="6">
        <v>87.7</v>
      </c>
      <c r="J106" s="6" t="s">
        <v>245</v>
      </c>
      <c r="K106" s="6" t="s">
        <v>59</v>
      </c>
      <c r="L106" s="6">
        <v>74.3</v>
      </c>
    </row>
    <row r="107" spans="1:12" x14ac:dyDescent="0.3">
      <c r="A107" s="1" t="s">
        <v>353</v>
      </c>
      <c r="B107" s="1" t="s">
        <v>57</v>
      </c>
      <c r="C107" s="1">
        <v>80.400000000000006</v>
      </c>
      <c r="F107" s="6" t="s">
        <v>275</v>
      </c>
      <c r="G107" s="6" t="s">
        <v>57</v>
      </c>
      <c r="H107" s="6">
        <v>63.9</v>
      </c>
      <c r="J107" s="6" t="s">
        <v>244</v>
      </c>
      <c r="K107" s="6" t="s">
        <v>59</v>
      </c>
      <c r="L107" s="6">
        <v>86.5</v>
      </c>
    </row>
    <row r="108" spans="1:12" x14ac:dyDescent="0.3">
      <c r="A108" s="1" t="s">
        <v>352</v>
      </c>
      <c r="B108" s="1" t="s">
        <v>57</v>
      </c>
      <c r="C108" s="1">
        <v>72.400000000000006</v>
      </c>
      <c r="F108" s="6" t="s">
        <v>274</v>
      </c>
      <c r="G108" s="6" t="s">
        <v>57</v>
      </c>
      <c r="H108" s="6">
        <v>71.8</v>
      </c>
      <c r="J108" s="6" t="s">
        <v>242</v>
      </c>
      <c r="K108" s="6" t="s">
        <v>59</v>
      </c>
      <c r="L108" s="6">
        <v>59.7</v>
      </c>
    </row>
    <row r="109" spans="1:12" x14ac:dyDescent="0.3">
      <c r="A109" s="1" t="s">
        <v>351</v>
      </c>
      <c r="B109" s="1" t="s">
        <v>57</v>
      </c>
      <c r="C109" s="1">
        <v>78</v>
      </c>
      <c r="F109" s="6" t="s">
        <v>273</v>
      </c>
      <c r="G109" s="6" t="s">
        <v>57</v>
      </c>
      <c r="H109" s="6">
        <v>60.6</v>
      </c>
      <c r="J109" s="6" t="s">
        <v>241</v>
      </c>
      <c r="K109" s="6" t="s">
        <v>59</v>
      </c>
      <c r="L109" s="6">
        <v>77.7</v>
      </c>
    </row>
    <row r="110" spans="1:12" x14ac:dyDescent="0.3">
      <c r="A110" s="1" t="s">
        <v>350</v>
      </c>
      <c r="B110" s="1" t="s">
        <v>59</v>
      </c>
      <c r="C110" s="1">
        <v>90.5</v>
      </c>
      <c r="F110" s="6" t="s">
        <v>269</v>
      </c>
      <c r="G110" s="6" t="s">
        <v>57</v>
      </c>
      <c r="H110" s="6">
        <v>65.7</v>
      </c>
      <c r="J110" s="6" t="s">
        <v>240</v>
      </c>
      <c r="K110" s="6" t="s">
        <v>59</v>
      </c>
      <c r="L110" s="6">
        <v>72.8</v>
      </c>
    </row>
    <row r="111" spans="1:12" x14ac:dyDescent="0.3">
      <c r="A111" s="1" t="s">
        <v>349</v>
      </c>
      <c r="B111" s="1" t="s">
        <v>59</v>
      </c>
      <c r="C111" s="1">
        <v>66.3</v>
      </c>
      <c r="F111" s="6" t="s">
        <v>268</v>
      </c>
      <c r="G111" s="6" t="s">
        <v>57</v>
      </c>
      <c r="H111" s="6">
        <v>95.2</v>
      </c>
      <c r="J111" s="6" t="s">
        <v>239</v>
      </c>
      <c r="K111" s="6" t="s">
        <v>59</v>
      </c>
      <c r="L111" s="6">
        <v>69.900000000000006</v>
      </c>
    </row>
    <row r="112" spans="1:12" x14ac:dyDescent="0.3">
      <c r="A112" s="1" t="s">
        <v>348</v>
      </c>
      <c r="B112" s="1" t="s">
        <v>57</v>
      </c>
      <c r="C112" s="1">
        <v>47.3</v>
      </c>
      <c r="F112" s="6" t="s">
        <v>267</v>
      </c>
      <c r="G112" s="6" t="s">
        <v>57</v>
      </c>
      <c r="H112" s="6">
        <v>55.3</v>
      </c>
      <c r="J112" s="6" t="s">
        <v>238</v>
      </c>
      <c r="K112" s="6" t="s">
        <v>59</v>
      </c>
      <c r="L112" s="6">
        <v>67.8</v>
      </c>
    </row>
    <row r="113" spans="1:12" x14ac:dyDescent="0.3">
      <c r="A113" s="1" t="s">
        <v>347</v>
      </c>
      <c r="B113" s="1" t="s">
        <v>59</v>
      </c>
      <c r="C113" s="1">
        <v>78.099999999999994</v>
      </c>
      <c r="F113" s="6" t="s">
        <v>265</v>
      </c>
      <c r="G113" s="6" t="s">
        <v>57</v>
      </c>
      <c r="H113" s="6">
        <v>70</v>
      </c>
      <c r="J113" s="6" t="s">
        <v>236</v>
      </c>
      <c r="K113" s="6" t="s">
        <v>59</v>
      </c>
      <c r="L113" s="6">
        <v>56.4</v>
      </c>
    </row>
    <row r="114" spans="1:12" x14ac:dyDescent="0.3">
      <c r="A114" s="1" t="s">
        <v>346</v>
      </c>
      <c r="B114" s="1" t="s">
        <v>59</v>
      </c>
      <c r="C114" s="1">
        <v>72.900000000000006</v>
      </c>
      <c r="F114" s="6" t="s">
        <v>258</v>
      </c>
      <c r="G114" s="6" t="s">
        <v>57</v>
      </c>
      <c r="H114" s="6">
        <v>82.8</v>
      </c>
      <c r="J114" s="6" t="s">
        <v>231</v>
      </c>
      <c r="K114" s="6" t="s">
        <v>59</v>
      </c>
      <c r="L114" s="6">
        <v>59.8</v>
      </c>
    </row>
    <row r="115" spans="1:12" x14ac:dyDescent="0.3">
      <c r="A115" s="1" t="s">
        <v>345</v>
      </c>
      <c r="B115" s="1" t="s">
        <v>59</v>
      </c>
      <c r="C115" s="1">
        <v>90.1</v>
      </c>
      <c r="F115" s="6" t="s">
        <v>253</v>
      </c>
      <c r="G115" s="6" t="s">
        <v>57</v>
      </c>
      <c r="H115" s="6">
        <v>95.7</v>
      </c>
      <c r="J115" s="6" t="s">
        <v>229</v>
      </c>
      <c r="K115" s="6" t="s">
        <v>59</v>
      </c>
      <c r="L115" s="6">
        <v>91.9</v>
      </c>
    </row>
    <row r="116" spans="1:12" x14ac:dyDescent="0.3">
      <c r="A116" s="1" t="s">
        <v>344</v>
      </c>
      <c r="B116" s="1" t="s">
        <v>59</v>
      </c>
      <c r="C116" s="1">
        <v>79.2</v>
      </c>
      <c r="F116" s="6" t="s">
        <v>252</v>
      </c>
      <c r="G116" s="6" t="s">
        <v>57</v>
      </c>
      <c r="H116" s="6">
        <v>66.900000000000006</v>
      </c>
      <c r="J116" s="6" t="s">
        <v>227</v>
      </c>
      <c r="K116" s="6" t="s">
        <v>59</v>
      </c>
      <c r="L116" s="6">
        <v>70.8</v>
      </c>
    </row>
    <row r="117" spans="1:12" x14ac:dyDescent="0.3">
      <c r="A117" s="1" t="s">
        <v>343</v>
      </c>
      <c r="B117" s="1" t="s">
        <v>57</v>
      </c>
      <c r="C117" s="1">
        <v>76.400000000000006</v>
      </c>
      <c r="F117" s="6" t="s">
        <v>251</v>
      </c>
      <c r="G117" s="6" t="s">
        <v>57</v>
      </c>
      <c r="H117" s="6">
        <v>67</v>
      </c>
      <c r="J117" s="6" t="s">
        <v>226</v>
      </c>
      <c r="K117" s="6" t="s">
        <v>59</v>
      </c>
      <c r="L117" s="6">
        <v>86.7</v>
      </c>
    </row>
    <row r="118" spans="1:12" x14ac:dyDescent="0.3">
      <c r="A118" s="1" t="s">
        <v>342</v>
      </c>
      <c r="B118" s="1" t="s">
        <v>57</v>
      </c>
      <c r="C118" s="1">
        <v>70.2</v>
      </c>
      <c r="F118" s="6" t="s">
        <v>249</v>
      </c>
      <c r="G118" s="6" t="s">
        <v>57</v>
      </c>
      <c r="H118" s="6">
        <v>70.900000000000006</v>
      </c>
      <c r="J118" s="6" t="s">
        <v>223</v>
      </c>
      <c r="K118" s="6" t="s">
        <v>59</v>
      </c>
      <c r="L118" s="6">
        <v>63.2</v>
      </c>
    </row>
    <row r="119" spans="1:12" x14ac:dyDescent="0.3">
      <c r="A119" s="1" t="s">
        <v>341</v>
      </c>
      <c r="B119" s="1" t="s">
        <v>59</v>
      </c>
      <c r="C119" s="1">
        <v>68.5</v>
      </c>
      <c r="F119" s="6" t="s">
        <v>247</v>
      </c>
      <c r="G119" s="6" t="s">
        <v>57</v>
      </c>
      <c r="H119" s="6">
        <v>65.400000000000006</v>
      </c>
      <c r="J119" s="6" t="s">
        <v>222</v>
      </c>
      <c r="K119" s="6" t="s">
        <v>59</v>
      </c>
      <c r="L119" s="6">
        <v>91.8</v>
      </c>
    </row>
    <row r="120" spans="1:12" x14ac:dyDescent="0.3">
      <c r="A120" s="1" t="s">
        <v>340</v>
      </c>
      <c r="B120" s="1" t="s">
        <v>59</v>
      </c>
      <c r="C120" s="1">
        <v>68.5</v>
      </c>
      <c r="F120" s="6" t="s">
        <v>246</v>
      </c>
      <c r="G120" s="6" t="s">
        <v>57</v>
      </c>
      <c r="H120" s="6">
        <v>59</v>
      </c>
      <c r="J120" s="6" t="s">
        <v>221</v>
      </c>
      <c r="K120" s="6" t="s">
        <v>59</v>
      </c>
      <c r="L120" s="6">
        <v>95.9</v>
      </c>
    </row>
    <row r="121" spans="1:12" x14ac:dyDescent="0.3">
      <c r="A121" s="1" t="s">
        <v>339</v>
      </c>
      <c r="B121" s="1" t="s">
        <v>59</v>
      </c>
      <c r="C121" s="1">
        <v>78.7</v>
      </c>
      <c r="F121" s="6" t="s">
        <v>243</v>
      </c>
      <c r="G121" s="6" t="s">
        <v>57</v>
      </c>
      <c r="H121" s="6">
        <v>57.1</v>
      </c>
      <c r="J121" s="6" t="s">
        <v>220</v>
      </c>
      <c r="K121" s="6" t="s">
        <v>59</v>
      </c>
      <c r="L121" s="6">
        <v>87.8</v>
      </c>
    </row>
    <row r="122" spans="1:12" x14ac:dyDescent="0.3">
      <c r="A122" s="1" t="s">
        <v>338</v>
      </c>
      <c r="B122" s="1" t="s">
        <v>57</v>
      </c>
      <c r="C122" s="1">
        <v>55.6</v>
      </c>
      <c r="F122" s="6" t="s">
        <v>237</v>
      </c>
      <c r="G122" s="6" t="s">
        <v>57</v>
      </c>
      <c r="H122" s="6">
        <v>67.3</v>
      </c>
      <c r="J122" s="6" t="s">
        <v>219</v>
      </c>
      <c r="K122" s="6" t="s">
        <v>59</v>
      </c>
      <c r="L122" s="6">
        <v>97.6</v>
      </c>
    </row>
    <row r="123" spans="1:12" x14ac:dyDescent="0.3">
      <c r="A123" s="1" t="s">
        <v>337</v>
      </c>
      <c r="B123" s="1" t="s">
        <v>57</v>
      </c>
      <c r="C123" s="1">
        <v>84.4</v>
      </c>
      <c r="F123" s="6" t="s">
        <v>235</v>
      </c>
      <c r="G123" s="6" t="s">
        <v>57</v>
      </c>
      <c r="H123" s="6">
        <v>74.8</v>
      </c>
      <c r="J123" s="6" t="s">
        <v>218</v>
      </c>
      <c r="K123" s="6" t="s">
        <v>59</v>
      </c>
      <c r="L123" s="6">
        <v>78.7</v>
      </c>
    </row>
    <row r="124" spans="1:12" x14ac:dyDescent="0.3">
      <c r="A124" s="1" t="s">
        <v>336</v>
      </c>
      <c r="B124" s="1" t="s">
        <v>57</v>
      </c>
      <c r="C124" s="1">
        <v>84.5</v>
      </c>
      <c r="F124" s="6" t="s">
        <v>234</v>
      </c>
      <c r="G124" s="6" t="s">
        <v>57</v>
      </c>
      <c r="H124" s="6">
        <v>55.4</v>
      </c>
      <c r="J124" s="6" t="s">
        <v>215</v>
      </c>
      <c r="K124" s="6" t="s">
        <v>59</v>
      </c>
      <c r="L124" s="6">
        <v>65.3</v>
      </c>
    </row>
    <row r="125" spans="1:12" x14ac:dyDescent="0.3">
      <c r="A125" s="1" t="s">
        <v>335</v>
      </c>
      <c r="B125" s="1" t="s">
        <v>59</v>
      </c>
      <c r="C125" s="1">
        <v>93.6</v>
      </c>
      <c r="F125" s="6" t="s">
        <v>233</v>
      </c>
      <c r="G125" s="6" t="s">
        <v>57</v>
      </c>
      <c r="H125" s="6">
        <v>50.7</v>
      </c>
      <c r="J125" s="6" t="s">
        <v>212</v>
      </c>
      <c r="K125" s="6" t="s">
        <v>59</v>
      </c>
      <c r="L125" s="6">
        <v>84.8</v>
      </c>
    </row>
    <row r="126" spans="1:12" x14ac:dyDescent="0.3">
      <c r="A126" s="1" t="s">
        <v>334</v>
      </c>
      <c r="B126" s="1" t="s">
        <v>57</v>
      </c>
      <c r="C126" s="1">
        <v>67.2</v>
      </c>
      <c r="F126" s="6" t="s">
        <v>232</v>
      </c>
      <c r="G126" s="6" t="s">
        <v>57</v>
      </c>
      <c r="H126" s="6">
        <v>94.7</v>
      </c>
      <c r="J126" s="6" t="s">
        <v>210</v>
      </c>
      <c r="K126" s="6" t="s">
        <v>59</v>
      </c>
      <c r="L126" s="6">
        <v>70.3</v>
      </c>
    </row>
    <row r="127" spans="1:12" x14ac:dyDescent="0.3">
      <c r="A127" s="1" t="s">
        <v>333</v>
      </c>
      <c r="B127" s="1" t="s">
        <v>57</v>
      </c>
      <c r="C127" s="1">
        <v>59.3</v>
      </c>
      <c r="F127" s="6" t="s">
        <v>230</v>
      </c>
      <c r="G127" s="6" t="s">
        <v>57</v>
      </c>
      <c r="H127" s="6">
        <v>61.6</v>
      </c>
      <c r="J127" s="6" t="s">
        <v>209</v>
      </c>
      <c r="K127" s="6" t="s">
        <v>59</v>
      </c>
      <c r="L127" s="6">
        <v>57.8</v>
      </c>
    </row>
    <row r="128" spans="1:12" x14ac:dyDescent="0.3">
      <c r="A128" s="1" t="s">
        <v>332</v>
      </c>
      <c r="B128" s="1" t="s">
        <v>59</v>
      </c>
      <c r="C128" s="1">
        <v>65</v>
      </c>
      <c r="F128" s="6" t="s">
        <v>228</v>
      </c>
      <c r="G128" s="6" t="s">
        <v>57</v>
      </c>
      <c r="H128" s="6">
        <v>49.8</v>
      </c>
      <c r="J128" s="6" t="s">
        <v>207</v>
      </c>
      <c r="K128" s="6" t="s">
        <v>59</v>
      </c>
      <c r="L128" s="6">
        <v>99.5</v>
      </c>
    </row>
    <row r="129" spans="1:12" x14ac:dyDescent="0.3">
      <c r="A129" s="1" t="s">
        <v>331</v>
      </c>
      <c r="B129" s="1" t="s">
        <v>59</v>
      </c>
      <c r="C129" s="1">
        <v>86.2</v>
      </c>
      <c r="F129" s="6" t="s">
        <v>225</v>
      </c>
      <c r="G129" s="6" t="s">
        <v>57</v>
      </c>
      <c r="H129" s="6">
        <v>74.2</v>
      </c>
      <c r="J129" s="6" t="s">
        <v>205</v>
      </c>
      <c r="K129" s="6" t="s">
        <v>59</v>
      </c>
      <c r="L129" s="6">
        <v>71.3</v>
      </c>
    </row>
    <row r="130" spans="1:12" x14ac:dyDescent="0.3">
      <c r="A130" s="1" t="s">
        <v>330</v>
      </c>
      <c r="B130" s="1" t="s">
        <v>57</v>
      </c>
      <c r="C130" s="1">
        <v>84.3</v>
      </c>
      <c r="F130" s="6" t="s">
        <v>224</v>
      </c>
      <c r="G130" s="6" t="s">
        <v>57</v>
      </c>
      <c r="H130" s="6">
        <v>59.6</v>
      </c>
      <c r="J130" s="6" t="s">
        <v>203</v>
      </c>
      <c r="K130" s="6" t="s">
        <v>59</v>
      </c>
      <c r="L130" s="6">
        <v>64.3</v>
      </c>
    </row>
    <row r="131" spans="1:12" x14ac:dyDescent="0.3">
      <c r="A131" s="1" t="s">
        <v>329</v>
      </c>
      <c r="B131" s="1" t="s">
        <v>59</v>
      </c>
      <c r="C131" s="1">
        <v>76.7</v>
      </c>
      <c r="F131" s="6" t="s">
        <v>217</v>
      </c>
      <c r="G131" s="6" t="s">
        <v>57</v>
      </c>
      <c r="H131" s="6">
        <v>63.5</v>
      </c>
      <c r="J131" s="6" t="s">
        <v>200</v>
      </c>
      <c r="K131" s="6" t="s">
        <v>59</v>
      </c>
      <c r="L131" s="6">
        <v>86.4</v>
      </c>
    </row>
    <row r="132" spans="1:12" x14ac:dyDescent="0.3">
      <c r="A132" s="1" t="s">
        <v>328</v>
      </c>
      <c r="B132" s="1" t="s">
        <v>59</v>
      </c>
      <c r="C132" s="1">
        <v>86.1</v>
      </c>
      <c r="F132" s="6" t="s">
        <v>216</v>
      </c>
      <c r="G132" s="6" t="s">
        <v>57</v>
      </c>
      <c r="H132" s="6">
        <v>75</v>
      </c>
      <c r="J132" s="6" t="s">
        <v>192</v>
      </c>
      <c r="K132" s="6" t="s">
        <v>59</v>
      </c>
      <c r="L132" s="6">
        <v>58.3</v>
      </c>
    </row>
    <row r="133" spans="1:12" x14ac:dyDescent="0.3">
      <c r="A133" s="1" t="s">
        <v>327</v>
      </c>
      <c r="B133" s="1" t="s">
        <v>57</v>
      </c>
      <c r="C133" s="1">
        <v>66.3</v>
      </c>
      <c r="F133" s="6" t="s">
        <v>214</v>
      </c>
      <c r="G133" s="6" t="s">
        <v>57</v>
      </c>
      <c r="H133" s="6">
        <v>32.5</v>
      </c>
      <c r="J133" s="6" t="s">
        <v>191</v>
      </c>
      <c r="K133" s="6" t="s">
        <v>59</v>
      </c>
      <c r="L133" s="6">
        <v>78.400000000000006</v>
      </c>
    </row>
    <row r="134" spans="1:12" x14ac:dyDescent="0.3">
      <c r="A134" s="1" t="s">
        <v>326</v>
      </c>
      <c r="B134" s="1" t="s">
        <v>59</v>
      </c>
      <c r="C134" s="1">
        <v>76.7</v>
      </c>
      <c r="F134" s="6" t="s">
        <v>213</v>
      </c>
      <c r="G134" s="6" t="s">
        <v>57</v>
      </c>
      <c r="H134" s="6">
        <v>72</v>
      </c>
      <c r="J134" s="6" t="s">
        <v>190</v>
      </c>
      <c r="K134" s="6" t="s">
        <v>59</v>
      </c>
      <c r="L134" s="6">
        <v>76.5</v>
      </c>
    </row>
    <row r="135" spans="1:12" x14ac:dyDescent="0.3">
      <c r="A135" s="1" t="s">
        <v>325</v>
      </c>
      <c r="B135" s="1" t="s">
        <v>57</v>
      </c>
      <c r="C135" s="1">
        <v>89</v>
      </c>
      <c r="F135" s="6" t="s">
        <v>211</v>
      </c>
      <c r="G135" s="6" t="s">
        <v>57</v>
      </c>
      <c r="H135" s="6">
        <v>76.099999999999994</v>
      </c>
      <c r="J135" s="6" t="s">
        <v>187</v>
      </c>
      <c r="K135" s="6" t="s">
        <v>59</v>
      </c>
      <c r="L135" s="6">
        <v>59.2</v>
      </c>
    </row>
    <row r="136" spans="1:12" x14ac:dyDescent="0.3">
      <c r="A136" s="1" t="s">
        <v>324</v>
      </c>
      <c r="B136" s="1" t="s">
        <v>57</v>
      </c>
      <c r="C136" s="1">
        <v>41</v>
      </c>
      <c r="F136" s="6" t="s">
        <v>208</v>
      </c>
      <c r="G136" s="6" t="s">
        <v>57</v>
      </c>
      <c r="H136" s="6">
        <v>97.5</v>
      </c>
      <c r="J136" s="6" t="s">
        <v>186</v>
      </c>
      <c r="K136" s="6" t="s">
        <v>59</v>
      </c>
      <c r="L136" s="6">
        <v>90.2</v>
      </c>
    </row>
    <row r="137" spans="1:12" x14ac:dyDescent="0.3">
      <c r="A137" s="1" t="s">
        <v>323</v>
      </c>
      <c r="B137" s="1" t="s">
        <v>57</v>
      </c>
      <c r="C137" s="1">
        <v>68</v>
      </c>
      <c r="F137" s="6" t="s">
        <v>206</v>
      </c>
      <c r="G137" s="6" t="s">
        <v>57</v>
      </c>
      <c r="H137" s="6">
        <v>59.2</v>
      </c>
      <c r="J137" s="6" t="s">
        <v>185</v>
      </c>
      <c r="K137" s="6" t="s">
        <v>59</v>
      </c>
      <c r="L137" s="6">
        <v>64.900000000000006</v>
      </c>
    </row>
    <row r="138" spans="1:12" x14ac:dyDescent="0.3">
      <c r="A138" s="1" t="s">
        <v>322</v>
      </c>
      <c r="B138" s="1" t="s">
        <v>59</v>
      </c>
      <c r="C138" s="1">
        <v>73</v>
      </c>
      <c r="F138" s="6" t="s">
        <v>204</v>
      </c>
      <c r="G138" s="6" t="s">
        <v>57</v>
      </c>
      <c r="H138" s="6">
        <v>48.4</v>
      </c>
      <c r="J138" s="6" t="s">
        <v>182</v>
      </c>
      <c r="K138" s="6" t="s">
        <v>59</v>
      </c>
      <c r="L138" s="6">
        <v>77.3</v>
      </c>
    </row>
    <row r="139" spans="1:12" x14ac:dyDescent="0.3">
      <c r="A139" s="1" t="s">
        <v>321</v>
      </c>
      <c r="B139" s="1" t="s">
        <v>59</v>
      </c>
      <c r="C139" s="1">
        <v>68.7</v>
      </c>
      <c r="F139" s="6" t="s">
        <v>202</v>
      </c>
      <c r="G139" s="6" t="s">
        <v>57</v>
      </c>
      <c r="H139" s="6">
        <v>42.9</v>
      </c>
      <c r="J139" s="6" t="s">
        <v>181</v>
      </c>
      <c r="K139" s="6" t="s">
        <v>59</v>
      </c>
      <c r="L139" s="6">
        <v>78.8</v>
      </c>
    </row>
    <row r="140" spans="1:12" x14ac:dyDescent="0.3">
      <c r="A140" s="1" t="s">
        <v>320</v>
      </c>
      <c r="B140" s="1" t="s">
        <v>59</v>
      </c>
      <c r="C140" s="1">
        <v>76</v>
      </c>
      <c r="F140" s="6" t="s">
        <v>201</v>
      </c>
      <c r="G140" s="6" t="s">
        <v>57</v>
      </c>
      <c r="H140" s="6">
        <v>66.8</v>
      </c>
      <c r="J140" s="6" t="s">
        <v>180</v>
      </c>
      <c r="K140" s="6" t="s">
        <v>59</v>
      </c>
      <c r="L140" s="6">
        <v>50.4</v>
      </c>
    </row>
    <row r="141" spans="1:12" x14ac:dyDescent="0.3">
      <c r="A141" s="1" t="s">
        <v>319</v>
      </c>
      <c r="B141" s="1" t="s">
        <v>59</v>
      </c>
      <c r="C141" s="1">
        <v>74.099999999999994</v>
      </c>
      <c r="F141" s="6" t="s">
        <v>199</v>
      </c>
      <c r="G141" s="6" t="s">
        <v>57</v>
      </c>
      <c r="H141" s="6">
        <v>57.2</v>
      </c>
      <c r="J141" s="6" t="s">
        <v>179</v>
      </c>
      <c r="K141" s="6" t="s">
        <v>59</v>
      </c>
      <c r="L141" s="6">
        <v>60.6</v>
      </c>
    </row>
    <row r="142" spans="1:12" x14ac:dyDescent="0.3">
      <c r="A142" s="1" t="s">
        <v>318</v>
      </c>
      <c r="B142" s="1" t="s">
        <v>57</v>
      </c>
      <c r="C142" s="1">
        <v>61.7</v>
      </c>
      <c r="F142" s="6" t="s">
        <v>198</v>
      </c>
      <c r="G142" s="6" t="s">
        <v>57</v>
      </c>
      <c r="H142" s="6">
        <v>51.1</v>
      </c>
      <c r="J142" s="6" t="s">
        <v>177</v>
      </c>
      <c r="K142" s="6" t="s">
        <v>59</v>
      </c>
      <c r="L142" s="6">
        <v>59.1</v>
      </c>
    </row>
    <row r="143" spans="1:12" x14ac:dyDescent="0.3">
      <c r="A143" s="1" t="s">
        <v>317</v>
      </c>
      <c r="B143" s="1" t="s">
        <v>57</v>
      </c>
      <c r="C143" s="1">
        <v>71</v>
      </c>
      <c r="F143" s="6" t="s">
        <v>197</v>
      </c>
      <c r="G143" s="6" t="s">
        <v>57</v>
      </c>
      <c r="H143" s="6">
        <v>65.400000000000006</v>
      </c>
      <c r="J143" s="6" t="s">
        <v>176</v>
      </c>
      <c r="K143" s="6" t="s">
        <v>59</v>
      </c>
      <c r="L143" s="6">
        <v>77.5</v>
      </c>
    </row>
    <row r="144" spans="1:12" x14ac:dyDescent="0.3">
      <c r="A144" s="1" t="s">
        <v>316</v>
      </c>
      <c r="B144" s="1" t="s">
        <v>59</v>
      </c>
      <c r="C144" s="1">
        <v>77.8</v>
      </c>
      <c r="F144" s="6" t="s">
        <v>196</v>
      </c>
      <c r="G144" s="6" t="s">
        <v>57</v>
      </c>
      <c r="H144" s="6">
        <v>81.8</v>
      </c>
      <c r="J144" s="6" t="s">
        <v>174</v>
      </c>
      <c r="K144" s="6" t="s">
        <v>59</v>
      </c>
      <c r="L144" s="6">
        <v>63.8</v>
      </c>
    </row>
    <row r="145" spans="1:12" x14ac:dyDescent="0.3">
      <c r="A145" s="1" t="s">
        <v>315</v>
      </c>
      <c r="B145" s="1" t="s">
        <v>57</v>
      </c>
      <c r="C145" s="1">
        <v>64.7</v>
      </c>
      <c r="F145" s="6" t="s">
        <v>195</v>
      </c>
      <c r="G145" s="6" t="s">
        <v>57</v>
      </c>
      <c r="H145" s="6">
        <v>77</v>
      </c>
      <c r="J145" s="6" t="s">
        <v>173</v>
      </c>
      <c r="K145" s="6" t="s">
        <v>59</v>
      </c>
      <c r="L145" s="6">
        <v>53.1</v>
      </c>
    </row>
    <row r="146" spans="1:12" x14ac:dyDescent="0.3">
      <c r="A146" s="1" t="s">
        <v>314</v>
      </c>
      <c r="B146" s="1" t="s">
        <v>57</v>
      </c>
      <c r="C146" s="1">
        <v>79.400000000000006</v>
      </c>
      <c r="F146" s="6" t="s">
        <v>194</v>
      </c>
      <c r="G146" s="6" t="s">
        <v>57</v>
      </c>
      <c r="H146" s="6">
        <v>69</v>
      </c>
      <c r="J146" s="6" t="s">
        <v>172</v>
      </c>
      <c r="K146" s="6" t="s">
        <v>59</v>
      </c>
      <c r="L146" s="6">
        <v>57.7</v>
      </c>
    </row>
    <row r="147" spans="1:12" x14ac:dyDescent="0.3">
      <c r="A147" s="1" t="s">
        <v>313</v>
      </c>
      <c r="B147" s="1" t="s">
        <v>59</v>
      </c>
      <c r="C147" s="1">
        <v>59.5</v>
      </c>
      <c r="F147" s="6" t="s">
        <v>193</v>
      </c>
      <c r="G147" s="6" t="s">
        <v>57</v>
      </c>
      <c r="H147" s="6">
        <v>58.2</v>
      </c>
      <c r="J147" s="6" t="s">
        <v>169</v>
      </c>
      <c r="K147" s="6" t="s">
        <v>59</v>
      </c>
      <c r="L147" s="6">
        <v>63</v>
      </c>
    </row>
    <row r="148" spans="1:12" x14ac:dyDescent="0.3">
      <c r="A148" s="1" t="s">
        <v>312</v>
      </c>
      <c r="B148" s="1" t="s">
        <v>57</v>
      </c>
      <c r="C148" s="1">
        <v>67</v>
      </c>
      <c r="F148" s="6" t="s">
        <v>189</v>
      </c>
      <c r="G148" s="6" t="s">
        <v>57</v>
      </c>
      <c r="H148" s="6">
        <v>58.2</v>
      </c>
      <c r="J148" s="6" t="s">
        <v>165</v>
      </c>
      <c r="K148" s="6" t="s">
        <v>59</v>
      </c>
      <c r="L148" s="6">
        <v>75.900000000000006</v>
      </c>
    </row>
    <row r="149" spans="1:12" x14ac:dyDescent="0.3">
      <c r="A149" s="1" t="s">
        <v>311</v>
      </c>
      <c r="B149" s="1" t="s">
        <v>57</v>
      </c>
      <c r="C149" s="1">
        <v>69</v>
      </c>
      <c r="F149" s="6" t="s">
        <v>188</v>
      </c>
      <c r="G149" s="6" t="s">
        <v>57</v>
      </c>
      <c r="H149" s="6">
        <v>93</v>
      </c>
      <c r="J149" s="6" t="s">
        <v>164</v>
      </c>
      <c r="K149" s="6" t="s">
        <v>59</v>
      </c>
      <c r="L149" s="6">
        <v>71.099999999999994</v>
      </c>
    </row>
    <row r="150" spans="1:12" x14ac:dyDescent="0.3">
      <c r="A150" s="1" t="s">
        <v>310</v>
      </c>
      <c r="B150" s="1" t="s">
        <v>57</v>
      </c>
      <c r="C150" s="1">
        <v>74.3</v>
      </c>
      <c r="F150" s="6" t="s">
        <v>184</v>
      </c>
      <c r="G150" s="6" t="s">
        <v>57</v>
      </c>
      <c r="H150" s="6">
        <v>52.2</v>
      </c>
      <c r="J150" s="6" t="s">
        <v>163</v>
      </c>
      <c r="K150" s="6" t="s">
        <v>59</v>
      </c>
      <c r="L150" s="6">
        <v>72.5</v>
      </c>
    </row>
    <row r="151" spans="1:12" x14ac:dyDescent="0.3">
      <c r="A151" s="1" t="s">
        <v>309</v>
      </c>
      <c r="B151" s="1" t="s">
        <v>59</v>
      </c>
      <c r="C151" s="1">
        <v>74.3</v>
      </c>
      <c r="F151" s="6" t="s">
        <v>183</v>
      </c>
      <c r="G151" s="6" t="s">
        <v>57</v>
      </c>
      <c r="H151" s="6">
        <v>51.7</v>
      </c>
      <c r="J151" s="6" t="s">
        <v>161</v>
      </c>
      <c r="K151" s="6" t="s">
        <v>59</v>
      </c>
      <c r="L151" s="6">
        <v>83.3</v>
      </c>
    </row>
    <row r="152" spans="1:12" x14ac:dyDescent="0.3">
      <c r="A152" s="1" t="s">
        <v>308</v>
      </c>
      <c r="B152" s="1" t="s">
        <v>57</v>
      </c>
      <c r="C152" s="1">
        <v>70.3</v>
      </c>
      <c r="F152" s="6" t="s">
        <v>178</v>
      </c>
      <c r="G152" s="6" t="s">
        <v>57</v>
      </c>
      <c r="H152" s="6">
        <v>52.4</v>
      </c>
      <c r="J152" s="6" t="s">
        <v>160</v>
      </c>
      <c r="K152" s="6" t="s">
        <v>59</v>
      </c>
      <c r="L152" s="6">
        <v>78.5</v>
      </c>
    </row>
    <row r="153" spans="1:12" x14ac:dyDescent="0.3">
      <c r="A153" s="1" t="s">
        <v>307</v>
      </c>
      <c r="B153" s="1" t="s">
        <v>59</v>
      </c>
      <c r="C153" s="1">
        <v>70.2</v>
      </c>
      <c r="F153" s="6" t="s">
        <v>175</v>
      </c>
      <c r="G153" s="6" t="s">
        <v>57</v>
      </c>
      <c r="H153" s="6">
        <v>87.3</v>
      </c>
      <c r="J153" s="6" t="s">
        <v>159</v>
      </c>
      <c r="K153" s="6" t="s">
        <v>59</v>
      </c>
      <c r="L153" s="6">
        <v>72</v>
      </c>
    </row>
    <row r="154" spans="1:12" x14ac:dyDescent="0.3">
      <c r="A154" s="1" t="s">
        <v>306</v>
      </c>
      <c r="B154" s="1" t="s">
        <v>59</v>
      </c>
      <c r="C154" s="1">
        <v>72</v>
      </c>
      <c r="F154" s="6" t="s">
        <v>171</v>
      </c>
      <c r="G154" s="6" t="s">
        <v>57</v>
      </c>
      <c r="H154" s="6">
        <v>74.2</v>
      </c>
      <c r="J154" s="6" t="s">
        <v>158</v>
      </c>
      <c r="K154" s="6" t="s">
        <v>59</v>
      </c>
      <c r="L154" s="6">
        <v>72.8</v>
      </c>
    </row>
    <row r="155" spans="1:12" x14ac:dyDescent="0.3">
      <c r="A155" s="1" t="s">
        <v>305</v>
      </c>
      <c r="B155" s="1" t="s">
        <v>57</v>
      </c>
      <c r="C155" s="1">
        <v>78.8</v>
      </c>
      <c r="F155" s="6" t="s">
        <v>170</v>
      </c>
      <c r="G155" s="6" t="s">
        <v>57</v>
      </c>
      <c r="H155" s="6">
        <v>71.5</v>
      </c>
      <c r="J155" s="6" t="s">
        <v>156</v>
      </c>
      <c r="K155" s="6" t="s">
        <v>59</v>
      </c>
      <c r="L155" s="6">
        <v>86.1</v>
      </c>
    </row>
    <row r="156" spans="1:12" x14ac:dyDescent="0.3">
      <c r="A156" s="1" t="s">
        <v>304</v>
      </c>
      <c r="B156" s="1" t="s">
        <v>57</v>
      </c>
      <c r="C156" s="1">
        <v>80.8</v>
      </c>
      <c r="F156" s="6" t="s">
        <v>168</v>
      </c>
      <c r="G156" s="6" t="s">
        <v>57</v>
      </c>
      <c r="H156" s="6">
        <v>68.099999999999994</v>
      </c>
      <c r="J156" s="6" t="s">
        <v>149</v>
      </c>
      <c r="K156" s="6" t="s">
        <v>59</v>
      </c>
      <c r="L156" s="6">
        <v>69.599999999999994</v>
      </c>
    </row>
    <row r="157" spans="1:12" x14ac:dyDescent="0.3">
      <c r="A157" s="1" t="s">
        <v>303</v>
      </c>
      <c r="B157" s="1" t="s">
        <v>57</v>
      </c>
      <c r="C157" s="1">
        <v>65.2</v>
      </c>
      <c r="F157" s="6" t="s">
        <v>167</v>
      </c>
      <c r="G157" s="6" t="s">
        <v>57</v>
      </c>
      <c r="H157" s="6">
        <v>78</v>
      </c>
      <c r="J157" s="6" t="s">
        <v>145</v>
      </c>
      <c r="K157" s="6" t="s">
        <v>59</v>
      </c>
      <c r="L157" s="6">
        <v>86.3</v>
      </c>
    </row>
    <row r="158" spans="1:12" x14ac:dyDescent="0.3">
      <c r="A158" s="1" t="s">
        <v>302</v>
      </c>
      <c r="B158" s="1" t="s">
        <v>57</v>
      </c>
      <c r="C158" s="1">
        <v>79.400000000000006</v>
      </c>
      <c r="F158" s="6" t="s">
        <v>166</v>
      </c>
      <c r="G158" s="6" t="s">
        <v>57</v>
      </c>
      <c r="H158" s="6">
        <v>63</v>
      </c>
      <c r="J158" s="6" t="s">
        <v>144</v>
      </c>
      <c r="K158" s="6" t="s">
        <v>59</v>
      </c>
      <c r="L158" s="6">
        <v>41.5</v>
      </c>
    </row>
    <row r="159" spans="1:12" x14ac:dyDescent="0.3">
      <c r="A159" s="1" t="s">
        <v>301</v>
      </c>
      <c r="B159" s="1" t="s">
        <v>57</v>
      </c>
      <c r="C159" s="1">
        <v>73.599999999999994</v>
      </c>
      <c r="F159" s="6" t="s">
        <v>162</v>
      </c>
      <c r="G159" s="6" t="s">
        <v>57</v>
      </c>
      <c r="H159" s="6">
        <v>62.9</v>
      </c>
      <c r="J159" s="6" t="s">
        <v>143</v>
      </c>
      <c r="K159" s="6" t="s">
        <v>59</v>
      </c>
      <c r="L159" s="6">
        <v>74.900000000000006</v>
      </c>
    </row>
    <row r="160" spans="1:12" x14ac:dyDescent="0.3">
      <c r="A160" s="1" t="s">
        <v>300</v>
      </c>
      <c r="B160" s="1" t="s">
        <v>59</v>
      </c>
      <c r="C160" s="1">
        <v>56</v>
      </c>
      <c r="F160" s="6" t="s">
        <v>157</v>
      </c>
      <c r="G160" s="6" t="s">
        <v>57</v>
      </c>
      <c r="H160" s="6">
        <v>47.9</v>
      </c>
      <c r="J160" s="6" t="s">
        <v>142</v>
      </c>
      <c r="K160" s="6" t="s">
        <v>59</v>
      </c>
      <c r="L160" s="6">
        <v>81.7</v>
      </c>
    </row>
    <row r="161" spans="1:12" x14ac:dyDescent="0.3">
      <c r="A161" s="1" t="s">
        <v>299</v>
      </c>
      <c r="B161" s="1" t="s">
        <v>59</v>
      </c>
      <c r="C161" s="1">
        <v>75.7</v>
      </c>
      <c r="F161" s="6" t="s">
        <v>155</v>
      </c>
      <c r="G161" s="6" t="s">
        <v>57</v>
      </c>
      <c r="H161" s="6">
        <v>76.8</v>
      </c>
      <c r="J161" s="6" t="s">
        <v>141</v>
      </c>
      <c r="K161" s="6" t="s">
        <v>59</v>
      </c>
      <c r="L161" s="6">
        <v>65</v>
      </c>
    </row>
    <row r="162" spans="1:12" x14ac:dyDescent="0.3">
      <c r="A162" s="1" t="s">
        <v>298</v>
      </c>
      <c r="B162" s="1" t="s">
        <v>59</v>
      </c>
      <c r="C162" s="1">
        <v>89.8</v>
      </c>
      <c r="F162" s="6" t="s">
        <v>154</v>
      </c>
      <c r="G162" s="6" t="s">
        <v>57</v>
      </c>
      <c r="H162" s="6">
        <v>76.5</v>
      </c>
      <c r="J162" s="6" t="s">
        <v>140</v>
      </c>
      <c r="K162" s="6" t="s">
        <v>59</v>
      </c>
      <c r="L162" s="6">
        <v>63.4</v>
      </c>
    </row>
    <row r="163" spans="1:12" x14ac:dyDescent="0.3">
      <c r="A163" s="1" t="s">
        <v>297</v>
      </c>
      <c r="B163" s="1" t="s">
        <v>59</v>
      </c>
      <c r="C163" s="1">
        <v>67.599999999999994</v>
      </c>
      <c r="F163" s="6" t="s">
        <v>153</v>
      </c>
      <c r="G163" s="6" t="s">
        <v>57</v>
      </c>
      <c r="H163" s="6">
        <v>74.400000000000006</v>
      </c>
      <c r="J163" s="6" t="s">
        <v>139</v>
      </c>
      <c r="K163" s="6" t="s">
        <v>59</v>
      </c>
      <c r="L163" s="6">
        <v>91.3</v>
      </c>
    </row>
    <row r="164" spans="1:12" x14ac:dyDescent="0.3">
      <c r="A164" s="1" t="s">
        <v>296</v>
      </c>
      <c r="B164" s="1" t="s">
        <v>59</v>
      </c>
      <c r="C164" s="1">
        <v>64.900000000000006</v>
      </c>
      <c r="F164" s="6" t="s">
        <v>152</v>
      </c>
      <c r="G164" s="6" t="s">
        <v>57</v>
      </c>
      <c r="H164" s="6">
        <v>36.799999999999997</v>
      </c>
      <c r="J164" s="6" t="s">
        <v>138</v>
      </c>
      <c r="K164" s="6" t="s">
        <v>59</v>
      </c>
      <c r="L164" s="6">
        <v>64.400000000000006</v>
      </c>
    </row>
    <row r="165" spans="1:12" x14ac:dyDescent="0.3">
      <c r="A165" s="1" t="s">
        <v>295</v>
      </c>
      <c r="B165" s="1" t="s">
        <v>57</v>
      </c>
      <c r="C165" s="1">
        <v>69</v>
      </c>
      <c r="F165" s="6" t="s">
        <v>151</v>
      </c>
      <c r="G165" s="6" t="s">
        <v>57</v>
      </c>
      <c r="H165" s="6">
        <v>88.2</v>
      </c>
      <c r="J165" s="6" t="s">
        <v>137</v>
      </c>
      <c r="K165" s="6" t="s">
        <v>59</v>
      </c>
      <c r="L165" s="6">
        <v>70.400000000000006</v>
      </c>
    </row>
    <row r="166" spans="1:12" x14ac:dyDescent="0.3">
      <c r="A166" s="1" t="s">
        <v>294</v>
      </c>
      <c r="B166" s="1" t="s">
        <v>59</v>
      </c>
      <c r="C166" s="1">
        <v>75.599999999999994</v>
      </c>
      <c r="F166" s="6" t="s">
        <v>150</v>
      </c>
      <c r="G166" s="6" t="s">
        <v>57</v>
      </c>
      <c r="H166" s="6">
        <v>68.5</v>
      </c>
      <c r="J166" s="6" t="s">
        <v>136</v>
      </c>
      <c r="K166" s="6" t="s">
        <v>59</v>
      </c>
      <c r="L166" s="6">
        <v>56.2</v>
      </c>
    </row>
    <row r="167" spans="1:12" x14ac:dyDescent="0.3">
      <c r="A167" s="1" t="s">
        <v>293</v>
      </c>
      <c r="B167" s="1" t="s">
        <v>57</v>
      </c>
      <c r="C167" s="1">
        <v>82.1</v>
      </c>
      <c r="F167" s="6" t="s">
        <v>148</v>
      </c>
      <c r="G167" s="6" t="s">
        <v>57</v>
      </c>
      <c r="H167" s="6">
        <v>75.5</v>
      </c>
      <c r="J167" s="6" t="s">
        <v>135</v>
      </c>
      <c r="K167" s="6" t="s">
        <v>59</v>
      </c>
      <c r="L167" s="6">
        <v>83.4</v>
      </c>
    </row>
    <row r="168" spans="1:12" x14ac:dyDescent="0.3">
      <c r="A168" s="1" t="s">
        <v>292</v>
      </c>
      <c r="B168" s="1" t="s">
        <v>59</v>
      </c>
      <c r="C168" s="1">
        <v>69.099999999999994</v>
      </c>
      <c r="F168" s="6" t="s">
        <v>147</v>
      </c>
      <c r="G168" s="6" t="s">
        <v>57</v>
      </c>
      <c r="H168" s="6">
        <v>74.3</v>
      </c>
      <c r="J168" s="6" t="s">
        <v>134</v>
      </c>
      <c r="K168" s="6" t="s">
        <v>59</v>
      </c>
      <c r="L168" s="6">
        <v>67.8</v>
      </c>
    </row>
    <row r="169" spans="1:12" x14ac:dyDescent="0.3">
      <c r="A169" s="1" t="s">
        <v>291</v>
      </c>
      <c r="B169" s="1" t="s">
        <v>57</v>
      </c>
      <c r="C169" s="1">
        <v>72.900000000000006</v>
      </c>
      <c r="F169" s="6" t="s">
        <v>146</v>
      </c>
      <c r="G169" s="6" t="s">
        <v>57</v>
      </c>
      <c r="H169" s="6">
        <v>68.400000000000006</v>
      </c>
      <c r="J169" s="6" t="s">
        <v>133</v>
      </c>
      <c r="K169" s="6" t="s">
        <v>59</v>
      </c>
      <c r="L169" s="6">
        <v>60.6</v>
      </c>
    </row>
    <row r="170" spans="1:12" x14ac:dyDescent="0.3">
      <c r="A170" s="1" t="s">
        <v>290</v>
      </c>
      <c r="B170" s="1" t="s">
        <v>57</v>
      </c>
      <c r="C170" s="1">
        <v>53.9</v>
      </c>
      <c r="F170" s="6" t="s">
        <v>129</v>
      </c>
      <c r="G170" s="6" t="s">
        <v>57</v>
      </c>
      <c r="H170" s="6">
        <v>71.400000000000006</v>
      </c>
      <c r="J170" s="6" t="s">
        <v>132</v>
      </c>
      <c r="K170" s="6" t="s">
        <v>59</v>
      </c>
      <c r="L170" s="6">
        <v>68.099999999999994</v>
      </c>
    </row>
    <row r="171" spans="1:12" x14ac:dyDescent="0.3">
      <c r="A171" s="1" t="s">
        <v>289</v>
      </c>
      <c r="B171" s="1" t="s">
        <v>59</v>
      </c>
      <c r="C171" s="1">
        <v>78.7</v>
      </c>
      <c r="F171" s="6" t="s">
        <v>128</v>
      </c>
      <c r="G171" s="6" t="s">
        <v>57</v>
      </c>
      <c r="H171" s="6">
        <v>61.4</v>
      </c>
      <c r="J171" s="6" t="s">
        <v>131</v>
      </c>
      <c r="K171" s="6" t="s">
        <v>59</v>
      </c>
      <c r="L171" s="6">
        <v>83.8</v>
      </c>
    </row>
    <row r="172" spans="1:12" x14ac:dyDescent="0.3">
      <c r="A172" s="1" t="s">
        <v>288</v>
      </c>
      <c r="B172" s="1" t="s">
        <v>57</v>
      </c>
      <c r="C172" s="1">
        <v>87.6</v>
      </c>
      <c r="F172" s="6" t="s">
        <v>126</v>
      </c>
      <c r="G172" s="6" t="s">
        <v>57</v>
      </c>
      <c r="H172" s="6">
        <v>75.3</v>
      </c>
      <c r="J172" s="6" t="s">
        <v>130</v>
      </c>
      <c r="K172" s="6" t="s">
        <v>59</v>
      </c>
      <c r="L172" s="6">
        <v>100</v>
      </c>
    </row>
    <row r="173" spans="1:12" x14ac:dyDescent="0.3">
      <c r="A173" s="1" t="s">
        <v>287</v>
      </c>
      <c r="B173" s="1" t="s">
        <v>57</v>
      </c>
      <c r="C173" s="1">
        <v>31.9</v>
      </c>
      <c r="F173" s="6" t="s">
        <v>123</v>
      </c>
      <c r="G173" s="6" t="s">
        <v>57</v>
      </c>
      <c r="H173" s="6">
        <v>52.4</v>
      </c>
      <c r="J173" s="6" t="s">
        <v>127</v>
      </c>
      <c r="K173" s="6" t="s">
        <v>59</v>
      </c>
      <c r="L173" s="6">
        <v>53.7</v>
      </c>
    </row>
    <row r="174" spans="1:12" x14ac:dyDescent="0.3">
      <c r="A174" s="1" t="s">
        <v>286</v>
      </c>
      <c r="B174" s="1" t="s">
        <v>57</v>
      </c>
      <c r="C174" s="1">
        <v>79.900000000000006</v>
      </c>
      <c r="F174" s="6" t="s">
        <v>122</v>
      </c>
      <c r="G174" s="6" t="s">
        <v>57</v>
      </c>
      <c r="H174" s="6">
        <v>72.8</v>
      </c>
      <c r="J174" s="6" t="s">
        <v>125</v>
      </c>
      <c r="K174" s="6" t="s">
        <v>59</v>
      </c>
      <c r="L174" s="6">
        <v>72.099999999999994</v>
      </c>
    </row>
    <row r="175" spans="1:12" x14ac:dyDescent="0.3">
      <c r="A175" s="1" t="s">
        <v>285</v>
      </c>
      <c r="B175" s="1" t="s">
        <v>57</v>
      </c>
      <c r="C175" s="1">
        <v>66.7</v>
      </c>
      <c r="F175" s="6" t="s">
        <v>121</v>
      </c>
      <c r="G175" s="6" t="s">
        <v>57</v>
      </c>
      <c r="H175" s="6">
        <v>75.5</v>
      </c>
      <c r="J175" s="6" t="s">
        <v>124</v>
      </c>
      <c r="K175" s="6" t="s">
        <v>59</v>
      </c>
      <c r="L175" s="6">
        <v>100</v>
      </c>
    </row>
    <row r="176" spans="1:12" x14ac:dyDescent="0.3">
      <c r="A176" s="1" t="s">
        <v>284</v>
      </c>
      <c r="B176" s="1" t="s">
        <v>57</v>
      </c>
      <c r="C176" s="1">
        <v>64</v>
      </c>
      <c r="F176" s="6" t="s">
        <v>120</v>
      </c>
      <c r="G176" s="6" t="s">
        <v>57</v>
      </c>
      <c r="H176" s="6">
        <v>63.2</v>
      </c>
      <c r="J176" s="6" t="s">
        <v>118</v>
      </c>
      <c r="K176" s="6" t="s">
        <v>59</v>
      </c>
      <c r="L176" s="6">
        <v>65.599999999999994</v>
      </c>
    </row>
    <row r="177" spans="1:12" x14ac:dyDescent="0.3">
      <c r="A177" s="1" t="s">
        <v>283</v>
      </c>
      <c r="B177" s="1" t="s">
        <v>59</v>
      </c>
      <c r="C177" s="1">
        <v>54.6</v>
      </c>
      <c r="F177" s="6" t="s">
        <v>119</v>
      </c>
      <c r="G177" s="6" t="s">
        <v>57</v>
      </c>
      <c r="H177" s="6">
        <v>78.2</v>
      </c>
      <c r="J177" s="6" t="s">
        <v>116</v>
      </c>
      <c r="K177" s="6" t="s">
        <v>59</v>
      </c>
      <c r="L177" s="6">
        <v>70.900000000000006</v>
      </c>
    </row>
    <row r="178" spans="1:12" x14ac:dyDescent="0.3">
      <c r="A178" s="1" t="s">
        <v>282</v>
      </c>
      <c r="B178" s="1" t="s">
        <v>57</v>
      </c>
      <c r="C178" s="1">
        <v>71.5</v>
      </c>
      <c r="F178" s="6" t="s">
        <v>117</v>
      </c>
      <c r="G178" s="6" t="s">
        <v>57</v>
      </c>
      <c r="H178" s="6">
        <v>51.6</v>
      </c>
      <c r="J178" s="6" t="s">
        <v>114</v>
      </c>
      <c r="K178" s="6" t="s">
        <v>59</v>
      </c>
      <c r="L178" s="6">
        <v>92.3</v>
      </c>
    </row>
    <row r="179" spans="1:12" x14ac:dyDescent="0.3">
      <c r="A179" s="1" t="s">
        <v>281</v>
      </c>
      <c r="B179" s="1" t="s">
        <v>59</v>
      </c>
      <c r="C179" s="1">
        <v>85</v>
      </c>
      <c r="F179" s="6" t="s">
        <v>115</v>
      </c>
      <c r="G179" s="6" t="s">
        <v>57</v>
      </c>
      <c r="H179" s="6">
        <v>53.4</v>
      </c>
      <c r="J179" s="6" t="s">
        <v>112</v>
      </c>
      <c r="K179" s="6" t="s">
        <v>59</v>
      </c>
      <c r="L179" s="6">
        <v>84.4</v>
      </c>
    </row>
    <row r="180" spans="1:12" x14ac:dyDescent="0.3">
      <c r="A180" s="1" t="s">
        <v>280</v>
      </c>
      <c r="B180" s="1" t="s">
        <v>57</v>
      </c>
      <c r="C180" s="1">
        <v>79.8</v>
      </c>
      <c r="F180" s="6" t="s">
        <v>113</v>
      </c>
      <c r="G180" s="6" t="s">
        <v>57</v>
      </c>
      <c r="H180" s="6">
        <v>72.2</v>
      </c>
      <c r="J180" s="6" t="s">
        <v>111</v>
      </c>
      <c r="K180" s="6" t="s">
        <v>59</v>
      </c>
      <c r="L180" s="6">
        <v>82.9</v>
      </c>
    </row>
    <row r="181" spans="1:12" x14ac:dyDescent="0.3">
      <c r="A181" s="1" t="s">
        <v>279</v>
      </c>
      <c r="B181" s="1" t="s">
        <v>57</v>
      </c>
      <c r="C181" s="1">
        <v>59.2</v>
      </c>
      <c r="F181" s="6" t="s">
        <v>109</v>
      </c>
      <c r="G181" s="6" t="s">
        <v>57</v>
      </c>
      <c r="H181" s="6">
        <v>78.400000000000006</v>
      </c>
      <c r="J181" s="6" t="s">
        <v>110</v>
      </c>
      <c r="K181" s="6" t="s">
        <v>59</v>
      </c>
      <c r="L181" s="6">
        <v>68.400000000000006</v>
      </c>
    </row>
    <row r="182" spans="1:12" x14ac:dyDescent="0.3">
      <c r="A182" s="1" t="s">
        <v>278</v>
      </c>
      <c r="B182" s="1" t="s">
        <v>57</v>
      </c>
      <c r="C182" s="1">
        <v>71.8</v>
      </c>
      <c r="F182" s="6" t="s">
        <v>107</v>
      </c>
      <c r="G182" s="6" t="s">
        <v>57</v>
      </c>
      <c r="H182" s="6">
        <v>81.099999999999994</v>
      </c>
      <c r="J182" s="6" t="s">
        <v>108</v>
      </c>
      <c r="K182" s="6" t="s">
        <v>59</v>
      </c>
      <c r="L182" s="6">
        <v>83.1</v>
      </c>
    </row>
    <row r="183" spans="1:12" x14ac:dyDescent="0.3">
      <c r="A183" s="1" t="s">
        <v>277</v>
      </c>
      <c r="B183" s="1" t="s">
        <v>57</v>
      </c>
      <c r="C183" s="1">
        <v>46.7</v>
      </c>
      <c r="F183" s="6" t="s">
        <v>105</v>
      </c>
      <c r="G183" s="6" t="s">
        <v>57</v>
      </c>
      <c r="H183" s="6">
        <v>70.3</v>
      </c>
      <c r="J183" s="6" t="s">
        <v>106</v>
      </c>
      <c r="K183" s="6" t="s">
        <v>59</v>
      </c>
      <c r="L183" s="6">
        <v>61.5</v>
      </c>
    </row>
    <row r="184" spans="1:12" x14ac:dyDescent="0.3">
      <c r="A184" s="1" t="s">
        <v>276</v>
      </c>
      <c r="B184" s="1" t="s">
        <v>57</v>
      </c>
      <c r="C184" s="1">
        <v>87.7</v>
      </c>
      <c r="F184" s="6" t="s">
        <v>102</v>
      </c>
      <c r="G184" s="6" t="s">
        <v>57</v>
      </c>
      <c r="H184" s="6">
        <v>84.5</v>
      </c>
      <c r="J184" s="6" t="s">
        <v>104</v>
      </c>
      <c r="K184" s="6" t="s">
        <v>59</v>
      </c>
      <c r="L184" s="6">
        <v>71.900000000000006</v>
      </c>
    </row>
    <row r="185" spans="1:12" x14ac:dyDescent="0.3">
      <c r="A185" s="1" t="s">
        <v>275</v>
      </c>
      <c r="B185" s="1" t="s">
        <v>57</v>
      </c>
      <c r="C185" s="1">
        <v>63.9</v>
      </c>
      <c r="F185" s="6" t="s">
        <v>97</v>
      </c>
      <c r="G185" s="6" t="s">
        <v>57</v>
      </c>
      <c r="H185" s="6">
        <v>80.2</v>
      </c>
      <c r="J185" s="6" t="s">
        <v>103</v>
      </c>
      <c r="K185" s="6" t="s">
        <v>59</v>
      </c>
      <c r="L185" s="6">
        <v>48.9</v>
      </c>
    </row>
    <row r="186" spans="1:12" x14ac:dyDescent="0.3">
      <c r="A186" s="1" t="s">
        <v>274</v>
      </c>
      <c r="B186" s="1" t="s">
        <v>57</v>
      </c>
      <c r="C186" s="1">
        <v>71.8</v>
      </c>
      <c r="F186" s="6" t="s">
        <v>96</v>
      </c>
      <c r="G186" s="6" t="s">
        <v>57</v>
      </c>
      <c r="H186" s="6">
        <v>63.5</v>
      </c>
      <c r="J186" s="6" t="s">
        <v>101</v>
      </c>
      <c r="K186" s="6" t="s">
        <v>59</v>
      </c>
      <c r="L186" s="6">
        <v>67.5</v>
      </c>
    </row>
    <row r="187" spans="1:12" x14ac:dyDescent="0.3">
      <c r="A187" s="1" t="s">
        <v>273</v>
      </c>
      <c r="B187" s="1" t="s">
        <v>57</v>
      </c>
      <c r="C187" s="1">
        <v>60.6</v>
      </c>
      <c r="F187" s="6" t="s">
        <v>95</v>
      </c>
      <c r="G187" s="6" t="s">
        <v>57</v>
      </c>
      <c r="H187" s="6">
        <v>58.9</v>
      </c>
      <c r="J187" s="6" t="s">
        <v>100</v>
      </c>
      <c r="K187" s="6" t="s">
        <v>59</v>
      </c>
      <c r="L187" s="6">
        <v>83</v>
      </c>
    </row>
    <row r="188" spans="1:12" x14ac:dyDescent="0.3">
      <c r="A188" s="1" t="s">
        <v>272</v>
      </c>
      <c r="B188" s="1" t="s">
        <v>59</v>
      </c>
      <c r="C188" s="1">
        <v>65.7</v>
      </c>
      <c r="F188" s="6" t="s">
        <v>94</v>
      </c>
      <c r="G188" s="6" t="s">
        <v>57</v>
      </c>
      <c r="H188" s="6">
        <v>71.3</v>
      </c>
      <c r="J188" s="6" t="s">
        <v>99</v>
      </c>
      <c r="K188" s="6" t="s">
        <v>59</v>
      </c>
      <c r="L188" s="6">
        <v>50.8</v>
      </c>
    </row>
    <row r="189" spans="1:12" x14ac:dyDescent="0.3">
      <c r="A189" s="1" t="s">
        <v>271</v>
      </c>
      <c r="B189" s="1" t="s">
        <v>59</v>
      </c>
      <c r="C189" s="1">
        <v>81.900000000000006</v>
      </c>
      <c r="F189" s="6" t="s">
        <v>92</v>
      </c>
      <c r="G189" s="6" t="s">
        <v>57</v>
      </c>
      <c r="H189" s="6">
        <v>93.9</v>
      </c>
      <c r="J189" s="6" t="s">
        <v>98</v>
      </c>
      <c r="K189" s="6" t="s">
        <v>59</v>
      </c>
      <c r="L189" s="6">
        <v>73.8</v>
      </c>
    </row>
    <row r="190" spans="1:12" x14ac:dyDescent="0.3">
      <c r="A190" s="1" t="s">
        <v>270</v>
      </c>
      <c r="B190" s="1" t="s">
        <v>59</v>
      </c>
      <c r="C190" s="1">
        <v>69.400000000000006</v>
      </c>
      <c r="F190" s="6" t="s">
        <v>91</v>
      </c>
      <c r="G190" s="6" t="s">
        <v>57</v>
      </c>
      <c r="H190" s="6">
        <v>62.2</v>
      </c>
      <c r="J190" s="6" t="s">
        <v>93</v>
      </c>
      <c r="K190" s="6" t="s">
        <v>59</v>
      </c>
      <c r="L190" s="6">
        <v>68.8</v>
      </c>
    </row>
    <row r="191" spans="1:12" x14ac:dyDescent="0.3">
      <c r="A191" s="1" t="s">
        <v>269</v>
      </c>
      <c r="B191" s="1" t="s">
        <v>57</v>
      </c>
      <c r="C191" s="1">
        <v>65.7</v>
      </c>
      <c r="F191" s="6" t="s">
        <v>90</v>
      </c>
      <c r="G191" s="6" t="s">
        <v>57</v>
      </c>
      <c r="H191" s="6">
        <v>66.599999999999994</v>
      </c>
      <c r="J191" s="6" t="s">
        <v>88</v>
      </c>
      <c r="K191" s="6" t="s">
        <v>59</v>
      </c>
      <c r="L191" s="6">
        <v>64.2</v>
      </c>
    </row>
    <row r="192" spans="1:12" x14ac:dyDescent="0.3">
      <c r="A192" s="1" t="s">
        <v>268</v>
      </c>
      <c r="B192" s="1" t="s">
        <v>57</v>
      </c>
      <c r="C192" s="1">
        <v>95.2</v>
      </c>
      <c r="F192" s="6" t="s">
        <v>89</v>
      </c>
      <c r="G192" s="6" t="s">
        <v>57</v>
      </c>
      <c r="H192" s="6">
        <v>63.2</v>
      </c>
      <c r="J192" s="6" t="s">
        <v>87</v>
      </c>
      <c r="K192" s="6" t="s">
        <v>59</v>
      </c>
      <c r="L192" s="6">
        <v>61.4</v>
      </c>
    </row>
    <row r="193" spans="1:12" x14ac:dyDescent="0.3">
      <c r="A193" s="1" t="s">
        <v>267</v>
      </c>
      <c r="B193" s="1" t="s">
        <v>57</v>
      </c>
      <c r="C193" s="1">
        <v>55.3</v>
      </c>
      <c r="F193" s="6" t="s">
        <v>85</v>
      </c>
      <c r="G193" s="6" t="s">
        <v>57</v>
      </c>
      <c r="H193" s="6">
        <v>70.7</v>
      </c>
      <c r="J193" s="6" t="s">
        <v>86</v>
      </c>
      <c r="K193" s="6" t="s">
        <v>59</v>
      </c>
      <c r="L193" s="6">
        <v>62.8</v>
      </c>
    </row>
    <row r="194" spans="1:12" x14ac:dyDescent="0.3">
      <c r="A194" s="1" t="s">
        <v>266</v>
      </c>
      <c r="B194" s="1" t="s">
        <v>59</v>
      </c>
      <c r="C194" s="1">
        <v>80.599999999999994</v>
      </c>
      <c r="F194" s="6" t="s">
        <v>83</v>
      </c>
      <c r="G194" s="6" t="s">
        <v>57</v>
      </c>
      <c r="H194" s="6">
        <v>60.1</v>
      </c>
      <c r="J194" s="6" t="s">
        <v>84</v>
      </c>
      <c r="K194" s="6" t="s">
        <v>59</v>
      </c>
      <c r="L194" s="6">
        <v>54.6</v>
      </c>
    </row>
    <row r="195" spans="1:12" x14ac:dyDescent="0.3">
      <c r="A195" s="1" t="s">
        <v>265</v>
      </c>
      <c r="B195" s="1" t="s">
        <v>57</v>
      </c>
      <c r="C195" s="1">
        <v>70</v>
      </c>
      <c r="F195" s="6" t="s">
        <v>81</v>
      </c>
      <c r="G195" s="6" t="s">
        <v>57</v>
      </c>
      <c r="H195" s="6">
        <v>72.599999999999994</v>
      </c>
      <c r="J195" s="6" t="s">
        <v>82</v>
      </c>
      <c r="K195" s="6" t="s">
        <v>59</v>
      </c>
      <c r="L195" s="6">
        <v>84.9</v>
      </c>
    </row>
    <row r="196" spans="1:12" x14ac:dyDescent="0.3">
      <c r="A196" s="1" t="s">
        <v>264</v>
      </c>
      <c r="B196" s="1" t="s">
        <v>59</v>
      </c>
      <c r="C196" s="1">
        <v>66.900000000000006</v>
      </c>
      <c r="F196" s="6" t="s">
        <v>76</v>
      </c>
      <c r="G196" s="6" t="s">
        <v>57</v>
      </c>
      <c r="H196" s="6">
        <v>84.6</v>
      </c>
      <c r="J196" s="6" t="s">
        <v>80</v>
      </c>
      <c r="K196" s="6" t="s">
        <v>59</v>
      </c>
      <c r="L196" s="6">
        <v>48.8</v>
      </c>
    </row>
    <row r="197" spans="1:12" x14ac:dyDescent="0.3">
      <c r="A197" s="1" t="s">
        <v>263</v>
      </c>
      <c r="B197" s="1" t="s">
        <v>59</v>
      </c>
      <c r="C197" s="1">
        <v>55.9</v>
      </c>
      <c r="F197" s="6" t="s">
        <v>75</v>
      </c>
      <c r="G197" s="6" t="s">
        <v>57</v>
      </c>
      <c r="H197" s="6">
        <v>50.4</v>
      </c>
      <c r="J197" s="6" t="s">
        <v>79</v>
      </c>
      <c r="K197" s="6" t="s">
        <v>59</v>
      </c>
      <c r="L197" s="6">
        <v>69.599999999999994</v>
      </c>
    </row>
    <row r="198" spans="1:12" x14ac:dyDescent="0.3">
      <c r="A198" s="1" t="s">
        <v>262</v>
      </c>
      <c r="B198" s="1" t="s">
        <v>59</v>
      </c>
      <c r="C198" s="1">
        <v>61.7</v>
      </c>
      <c r="F198" s="6" t="s">
        <v>74</v>
      </c>
      <c r="G198" s="6" t="s">
        <v>57</v>
      </c>
      <c r="H198" s="6">
        <v>48.2</v>
      </c>
      <c r="J198" s="6" t="s">
        <v>78</v>
      </c>
      <c r="K198" s="6" t="s">
        <v>59</v>
      </c>
      <c r="L198" s="6">
        <v>46.7</v>
      </c>
    </row>
    <row r="199" spans="1:12" x14ac:dyDescent="0.3">
      <c r="A199" s="1" t="s">
        <v>261</v>
      </c>
      <c r="B199" s="1" t="s">
        <v>59</v>
      </c>
      <c r="C199" s="1">
        <v>87.5</v>
      </c>
      <c r="F199" s="6" t="s">
        <v>72</v>
      </c>
      <c r="G199" s="6" t="s">
        <v>57</v>
      </c>
      <c r="H199" s="6">
        <v>72.7</v>
      </c>
      <c r="J199" s="6" t="s">
        <v>77</v>
      </c>
      <c r="K199" s="6" t="s">
        <v>59</v>
      </c>
      <c r="L199" s="6">
        <v>74</v>
      </c>
    </row>
    <row r="200" spans="1:12" x14ac:dyDescent="0.3">
      <c r="A200" s="1" t="s">
        <v>260</v>
      </c>
      <c r="B200" s="1" t="s">
        <v>59</v>
      </c>
      <c r="C200" s="1">
        <v>71.8</v>
      </c>
      <c r="F200" s="6" t="s">
        <v>70</v>
      </c>
      <c r="G200" s="6" t="s">
        <v>57</v>
      </c>
      <c r="H200" s="6">
        <v>80.400000000000006</v>
      </c>
      <c r="J200" s="6" t="s">
        <v>73</v>
      </c>
      <c r="K200" s="6" t="s">
        <v>59</v>
      </c>
      <c r="L200" s="6">
        <v>64.099999999999994</v>
      </c>
    </row>
    <row r="201" spans="1:12" x14ac:dyDescent="0.3">
      <c r="A201" s="1" t="s">
        <v>259</v>
      </c>
      <c r="B201" s="1" t="s">
        <v>59</v>
      </c>
      <c r="C201" s="1">
        <v>73.900000000000006</v>
      </c>
      <c r="F201" s="6" t="s">
        <v>67</v>
      </c>
      <c r="G201" s="6" t="s">
        <v>57</v>
      </c>
      <c r="H201" s="6">
        <v>51.2</v>
      </c>
      <c r="J201" s="6" t="s">
        <v>71</v>
      </c>
      <c r="K201" s="6" t="s">
        <v>59</v>
      </c>
      <c r="L201" s="6">
        <v>83.9</v>
      </c>
    </row>
    <row r="202" spans="1:12" x14ac:dyDescent="0.3">
      <c r="A202" s="1" t="s">
        <v>258</v>
      </c>
      <c r="B202" s="1" t="s">
        <v>57</v>
      </c>
      <c r="C202" s="1">
        <v>82.8</v>
      </c>
      <c r="F202" s="6" t="s">
        <v>65</v>
      </c>
      <c r="G202" s="6" t="s">
        <v>57</v>
      </c>
      <c r="H202" s="6">
        <v>73.599999999999994</v>
      </c>
      <c r="J202" s="6" t="s">
        <v>69</v>
      </c>
      <c r="K202" s="6" t="s">
        <v>59</v>
      </c>
      <c r="L202" s="6">
        <v>73.5</v>
      </c>
    </row>
    <row r="203" spans="1:12" x14ac:dyDescent="0.3">
      <c r="A203" s="1" t="s">
        <v>257</v>
      </c>
      <c r="B203" s="1" t="s">
        <v>59</v>
      </c>
      <c r="C203" s="1">
        <v>91.4</v>
      </c>
      <c r="F203" s="6" t="s">
        <v>64</v>
      </c>
      <c r="G203" s="6" t="s">
        <v>57</v>
      </c>
      <c r="H203" s="6">
        <v>52.9</v>
      </c>
      <c r="J203" s="6" t="s">
        <v>68</v>
      </c>
      <c r="K203" s="6" t="s">
        <v>59</v>
      </c>
      <c r="L203" s="6">
        <v>72.5</v>
      </c>
    </row>
    <row r="204" spans="1:12" x14ac:dyDescent="0.3">
      <c r="A204" s="1" t="s">
        <v>256</v>
      </c>
      <c r="B204" s="1" t="s">
        <v>59</v>
      </c>
      <c r="C204" s="1">
        <v>56.6</v>
      </c>
      <c r="F204" s="6" t="s">
        <v>63</v>
      </c>
      <c r="G204" s="6" t="s">
        <v>57</v>
      </c>
      <c r="H204" s="6">
        <v>65.8</v>
      </c>
      <c r="J204" s="6" t="s">
        <v>66</v>
      </c>
      <c r="K204" s="6" t="s">
        <v>59</v>
      </c>
      <c r="L204" s="6">
        <v>81.7</v>
      </c>
    </row>
    <row r="205" spans="1:12" x14ac:dyDescent="0.3">
      <c r="A205" s="1" t="s">
        <v>255</v>
      </c>
      <c r="B205" s="1" t="s">
        <v>59</v>
      </c>
      <c r="C205" s="1">
        <v>60.1</v>
      </c>
      <c r="F205" s="6" t="s">
        <v>62</v>
      </c>
      <c r="G205" s="6" t="s">
        <v>57</v>
      </c>
      <c r="H205" s="6">
        <v>74.8</v>
      </c>
      <c r="J205" s="6" t="s">
        <v>61</v>
      </c>
      <c r="K205" s="6" t="s">
        <v>59</v>
      </c>
      <c r="L205" s="6">
        <v>70</v>
      </c>
    </row>
    <row r="206" spans="1:12" x14ac:dyDescent="0.3">
      <c r="A206" s="1" t="s">
        <v>254</v>
      </c>
      <c r="B206" s="1" t="s">
        <v>59</v>
      </c>
      <c r="C206" s="1">
        <v>72.2</v>
      </c>
      <c r="F206" s="6" t="s">
        <v>58</v>
      </c>
      <c r="G206" s="6" t="s">
        <v>57</v>
      </c>
      <c r="H206" s="6">
        <v>64.5</v>
      </c>
      <c r="J206" s="6" t="s">
        <v>60</v>
      </c>
      <c r="K206" s="6" t="s">
        <v>59</v>
      </c>
      <c r="L206" s="6">
        <v>80.099999999999994</v>
      </c>
    </row>
    <row r="207" spans="1:12" x14ac:dyDescent="0.3">
      <c r="A207" s="1" t="s">
        <v>253</v>
      </c>
      <c r="B207" s="1" t="s">
        <v>57</v>
      </c>
      <c r="C207" s="1">
        <v>95.7</v>
      </c>
    </row>
    <row r="208" spans="1:12" x14ac:dyDescent="0.3">
      <c r="A208" s="1" t="s">
        <v>252</v>
      </c>
      <c r="B208" s="1" t="s">
        <v>57</v>
      </c>
      <c r="C208" s="1">
        <v>66.900000000000006</v>
      </c>
    </row>
    <row r="209" spans="1:3" x14ac:dyDescent="0.3">
      <c r="A209" s="1" t="s">
        <v>251</v>
      </c>
      <c r="B209" s="1" t="s">
        <v>57</v>
      </c>
      <c r="C209" s="1">
        <v>67</v>
      </c>
    </row>
    <row r="210" spans="1:3" x14ac:dyDescent="0.3">
      <c r="A210" s="1" t="s">
        <v>250</v>
      </c>
      <c r="B210" s="1" t="s">
        <v>59</v>
      </c>
      <c r="C210" s="1">
        <v>76.7</v>
      </c>
    </row>
    <row r="211" spans="1:3" x14ac:dyDescent="0.3">
      <c r="A211" s="1" t="s">
        <v>249</v>
      </c>
      <c r="B211" s="1" t="s">
        <v>57</v>
      </c>
      <c r="C211" s="1">
        <v>70.900000000000006</v>
      </c>
    </row>
    <row r="212" spans="1:3" x14ac:dyDescent="0.3">
      <c r="A212" s="1" t="s">
        <v>248</v>
      </c>
      <c r="B212" s="1" t="s">
        <v>59</v>
      </c>
      <c r="C212" s="1">
        <v>86.6</v>
      </c>
    </row>
    <row r="213" spans="1:3" x14ac:dyDescent="0.3">
      <c r="A213" s="1" t="s">
        <v>247</v>
      </c>
      <c r="B213" s="1" t="s">
        <v>57</v>
      </c>
      <c r="C213" s="1">
        <v>65.400000000000006</v>
      </c>
    </row>
    <row r="214" spans="1:3" x14ac:dyDescent="0.3">
      <c r="A214" s="1" t="s">
        <v>246</v>
      </c>
      <c r="B214" s="1" t="s">
        <v>57</v>
      </c>
      <c r="C214" s="1">
        <v>59</v>
      </c>
    </row>
    <row r="215" spans="1:3" x14ac:dyDescent="0.3">
      <c r="A215" s="1" t="s">
        <v>245</v>
      </c>
      <c r="B215" s="1" t="s">
        <v>59</v>
      </c>
      <c r="C215" s="1">
        <v>74.3</v>
      </c>
    </row>
    <row r="216" spans="1:3" x14ac:dyDescent="0.3">
      <c r="A216" s="1" t="s">
        <v>244</v>
      </c>
      <c r="B216" s="1" t="s">
        <v>59</v>
      </c>
      <c r="C216" s="1">
        <v>86.5</v>
      </c>
    </row>
    <row r="217" spans="1:3" x14ac:dyDescent="0.3">
      <c r="A217" s="1" t="s">
        <v>243</v>
      </c>
      <c r="B217" s="1" t="s">
        <v>57</v>
      </c>
      <c r="C217" s="1">
        <v>57.1</v>
      </c>
    </row>
    <row r="218" spans="1:3" x14ac:dyDescent="0.3">
      <c r="A218" s="1" t="s">
        <v>242</v>
      </c>
      <c r="B218" s="1" t="s">
        <v>59</v>
      </c>
      <c r="C218" s="1">
        <v>59.7</v>
      </c>
    </row>
    <row r="219" spans="1:3" x14ac:dyDescent="0.3">
      <c r="A219" s="1" t="s">
        <v>241</v>
      </c>
      <c r="B219" s="1" t="s">
        <v>59</v>
      </c>
      <c r="C219" s="1">
        <v>77.7</v>
      </c>
    </row>
    <row r="220" spans="1:3" x14ac:dyDescent="0.3">
      <c r="A220" s="1" t="s">
        <v>240</v>
      </c>
      <c r="B220" s="1" t="s">
        <v>59</v>
      </c>
      <c r="C220" s="1">
        <v>72.8</v>
      </c>
    </row>
    <row r="221" spans="1:3" x14ac:dyDescent="0.3">
      <c r="A221" s="1" t="s">
        <v>239</v>
      </c>
      <c r="B221" s="1" t="s">
        <v>59</v>
      </c>
      <c r="C221" s="1">
        <v>69.900000000000006</v>
      </c>
    </row>
    <row r="222" spans="1:3" x14ac:dyDescent="0.3">
      <c r="A222" s="1" t="s">
        <v>238</v>
      </c>
      <c r="B222" s="1" t="s">
        <v>59</v>
      </c>
      <c r="C222" s="1">
        <v>67.8</v>
      </c>
    </row>
    <row r="223" spans="1:3" x14ac:dyDescent="0.3">
      <c r="A223" s="1" t="s">
        <v>237</v>
      </c>
      <c r="B223" s="1" t="s">
        <v>57</v>
      </c>
      <c r="C223" s="1">
        <v>67.3</v>
      </c>
    </row>
    <row r="224" spans="1:3" x14ac:dyDescent="0.3">
      <c r="A224" s="1" t="s">
        <v>236</v>
      </c>
      <c r="B224" s="1" t="s">
        <v>59</v>
      </c>
      <c r="C224" s="1">
        <v>56.4</v>
      </c>
    </row>
    <row r="225" spans="1:3" x14ac:dyDescent="0.3">
      <c r="A225" s="1" t="s">
        <v>235</v>
      </c>
      <c r="B225" s="1" t="s">
        <v>57</v>
      </c>
      <c r="C225" s="1">
        <v>74.8</v>
      </c>
    </row>
    <row r="226" spans="1:3" x14ac:dyDescent="0.3">
      <c r="A226" s="1" t="s">
        <v>234</v>
      </c>
      <c r="B226" s="1" t="s">
        <v>57</v>
      </c>
      <c r="C226" s="1">
        <v>55.4</v>
      </c>
    </row>
    <row r="227" spans="1:3" x14ac:dyDescent="0.3">
      <c r="A227" s="1" t="s">
        <v>233</v>
      </c>
      <c r="B227" s="1" t="s">
        <v>57</v>
      </c>
      <c r="C227" s="1">
        <v>50.7</v>
      </c>
    </row>
    <row r="228" spans="1:3" x14ac:dyDescent="0.3">
      <c r="A228" s="1" t="s">
        <v>232</v>
      </c>
      <c r="B228" s="1" t="s">
        <v>57</v>
      </c>
      <c r="C228" s="1">
        <v>94.7</v>
      </c>
    </row>
    <row r="229" spans="1:3" x14ac:dyDescent="0.3">
      <c r="A229" s="1" t="s">
        <v>231</v>
      </c>
      <c r="B229" s="1" t="s">
        <v>59</v>
      </c>
      <c r="C229" s="1">
        <v>59.8</v>
      </c>
    </row>
    <row r="230" spans="1:3" x14ac:dyDescent="0.3">
      <c r="A230" s="1" t="s">
        <v>230</v>
      </c>
      <c r="B230" s="1" t="s">
        <v>57</v>
      </c>
      <c r="C230" s="1">
        <v>61.6</v>
      </c>
    </row>
    <row r="231" spans="1:3" x14ac:dyDescent="0.3">
      <c r="A231" s="1" t="s">
        <v>229</v>
      </c>
      <c r="B231" s="1" t="s">
        <v>59</v>
      </c>
      <c r="C231" s="1">
        <v>91.9</v>
      </c>
    </row>
    <row r="232" spans="1:3" x14ac:dyDescent="0.3">
      <c r="A232" s="1" t="s">
        <v>228</v>
      </c>
      <c r="B232" s="1" t="s">
        <v>57</v>
      </c>
      <c r="C232" s="1">
        <v>49.8</v>
      </c>
    </row>
    <row r="233" spans="1:3" x14ac:dyDescent="0.3">
      <c r="A233" s="1" t="s">
        <v>227</v>
      </c>
      <c r="B233" s="1" t="s">
        <v>59</v>
      </c>
      <c r="C233" s="1">
        <v>70.8</v>
      </c>
    </row>
    <row r="234" spans="1:3" x14ac:dyDescent="0.3">
      <c r="A234" s="1" t="s">
        <v>226</v>
      </c>
      <c r="B234" s="1" t="s">
        <v>59</v>
      </c>
      <c r="C234" s="1">
        <v>86.7</v>
      </c>
    </row>
    <row r="235" spans="1:3" x14ac:dyDescent="0.3">
      <c r="A235" s="1" t="s">
        <v>225</v>
      </c>
      <c r="B235" s="1" t="s">
        <v>57</v>
      </c>
      <c r="C235" s="1">
        <v>74.2</v>
      </c>
    </row>
    <row r="236" spans="1:3" x14ac:dyDescent="0.3">
      <c r="A236" s="1" t="s">
        <v>224</v>
      </c>
      <c r="B236" s="1" t="s">
        <v>57</v>
      </c>
      <c r="C236" s="1">
        <v>59.6</v>
      </c>
    </row>
    <row r="237" spans="1:3" x14ac:dyDescent="0.3">
      <c r="A237" s="1" t="s">
        <v>223</v>
      </c>
      <c r="B237" s="1" t="s">
        <v>59</v>
      </c>
      <c r="C237" s="1">
        <v>63.2</v>
      </c>
    </row>
    <row r="238" spans="1:3" x14ac:dyDescent="0.3">
      <c r="A238" s="1" t="s">
        <v>222</v>
      </c>
      <c r="B238" s="1" t="s">
        <v>59</v>
      </c>
      <c r="C238" s="1">
        <v>91.8</v>
      </c>
    </row>
    <row r="239" spans="1:3" x14ac:dyDescent="0.3">
      <c r="A239" s="1" t="s">
        <v>221</v>
      </c>
      <c r="B239" s="1" t="s">
        <v>59</v>
      </c>
      <c r="C239" s="1">
        <v>95.9</v>
      </c>
    </row>
    <row r="240" spans="1:3" x14ac:dyDescent="0.3">
      <c r="A240" s="1" t="s">
        <v>220</v>
      </c>
      <c r="B240" s="1" t="s">
        <v>59</v>
      </c>
      <c r="C240" s="1">
        <v>87.8</v>
      </c>
    </row>
    <row r="241" spans="1:3" x14ac:dyDescent="0.3">
      <c r="A241" s="1" t="s">
        <v>219</v>
      </c>
      <c r="B241" s="1" t="s">
        <v>59</v>
      </c>
      <c r="C241" s="1">
        <v>97.6</v>
      </c>
    </row>
    <row r="242" spans="1:3" x14ac:dyDescent="0.3">
      <c r="A242" s="1" t="s">
        <v>218</v>
      </c>
      <c r="B242" s="1" t="s">
        <v>59</v>
      </c>
      <c r="C242" s="1">
        <v>78.7</v>
      </c>
    </row>
    <row r="243" spans="1:3" x14ac:dyDescent="0.3">
      <c r="A243" s="1" t="s">
        <v>217</v>
      </c>
      <c r="B243" s="1" t="s">
        <v>57</v>
      </c>
      <c r="C243" s="1">
        <v>63.5</v>
      </c>
    </row>
    <row r="244" spans="1:3" x14ac:dyDescent="0.3">
      <c r="A244" s="1" t="s">
        <v>216</v>
      </c>
      <c r="B244" s="1" t="s">
        <v>57</v>
      </c>
      <c r="C244" s="1">
        <v>75</v>
      </c>
    </row>
    <row r="245" spans="1:3" x14ac:dyDescent="0.3">
      <c r="A245" s="1" t="s">
        <v>215</v>
      </c>
      <c r="B245" s="1" t="s">
        <v>59</v>
      </c>
      <c r="C245" s="1">
        <v>65.3</v>
      </c>
    </row>
    <row r="246" spans="1:3" x14ac:dyDescent="0.3">
      <c r="A246" s="1" t="s">
        <v>214</v>
      </c>
      <c r="B246" s="1" t="s">
        <v>57</v>
      </c>
      <c r="C246" s="1">
        <v>32.5</v>
      </c>
    </row>
    <row r="247" spans="1:3" x14ac:dyDescent="0.3">
      <c r="A247" s="1" t="s">
        <v>213</v>
      </c>
      <c r="B247" s="1" t="s">
        <v>57</v>
      </c>
      <c r="C247" s="1">
        <v>72</v>
      </c>
    </row>
    <row r="248" spans="1:3" x14ac:dyDescent="0.3">
      <c r="A248" s="1" t="s">
        <v>212</v>
      </c>
      <c r="B248" s="1" t="s">
        <v>59</v>
      </c>
      <c r="C248" s="1">
        <v>84.8</v>
      </c>
    </row>
    <row r="249" spans="1:3" x14ac:dyDescent="0.3">
      <c r="A249" s="1" t="s">
        <v>211</v>
      </c>
      <c r="B249" s="1" t="s">
        <v>57</v>
      </c>
      <c r="C249" s="1">
        <v>76.099999999999994</v>
      </c>
    </row>
    <row r="250" spans="1:3" x14ac:dyDescent="0.3">
      <c r="A250" s="1" t="s">
        <v>210</v>
      </c>
      <c r="B250" s="1" t="s">
        <v>59</v>
      </c>
      <c r="C250" s="1">
        <v>70.3</v>
      </c>
    </row>
    <row r="251" spans="1:3" x14ac:dyDescent="0.3">
      <c r="A251" s="1" t="s">
        <v>209</v>
      </c>
      <c r="B251" s="1" t="s">
        <v>59</v>
      </c>
      <c r="C251" s="1">
        <v>57.8</v>
      </c>
    </row>
    <row r="252" spans="1:3" x14ac:dyDescent="0.3">
      <c r="A252" s="1" t="s">
        <v>208</v>
      </c>
      <c r="B252" s="1" t="s">
        <v>57</v>
      </c>
      <c r="C252" s="1">
        <v>97.5</v>
      </c>
    </row>
    <row r="253" spans="1:3" x14ac:dyDescent="0.3">
      <c r="A253" s="1" t="s">
        <v>207</v>
      </c>
      <c r="B253" s="1" t="s">
        <v>59</v>
      </c>
      <c r="C253" s="1">
        <v>99.5</v>
      </c>
    </row>
    <row r="254" spans="1:3" x14ac:dyDescent="0.3">
      <c r="A254" s="1" t="s">
        <v>206</v>
      </c>
      <c r="B254" s="1" t="s">
        <v>57</v>
      </c>
      <c r="C254" s="1">
        <v>59.2</v>
      </c>
    </row>
    <row r="255" spans="1:3" x14ac:dyDescent="0.3">
      <c r="A255" s="1" t="s">
        <v>205</v>
      </c>
      <c r="B255" s="1" t="s">
        <v>59</v>
      </c>
      <c r="C255" s="1">
        <v>71.3</v>
      </c>
    </row>
    <row r="256" spans="1:3" x14ac:dyDescent="0.3">
      <c r="A256" s="1" t="s">
        <v>204</v>
      </c>
      <c r="B256" s="1" t="s">
        <v>57</v>
      </c>
      <c r="C256" s="1">
        <v>48.4</v>
      </c>
    </row>
    <row r="257" spans="1:3" x14ac:dyDescent="0.3">
      <c r="A257" s="1" t="s">
        <v>203</v>
      </c>
      <c r="B257" s="1" t="s">
        <v>59</v>
      </c>
      <c r="C257" s="1">
        <v>64.3</v>
      </c>
    </row>
    <row r="258" spans="1:3" x14ac:dyDescent="0.3">
      <c r="A258" s="1" t="s">
        <v>202</v>
      </c>
      <c r="B258" s="1" t="s">
        <v>57</v>
      </c>
      <c r="C258" s="1">
        <v>42.9</v>
      </c>
    </row>
    <row r="259" spans="1:3" x14ac:dyDescent="0.3">
      <c r="A259" s="1" t="s">
        <v>201</v>
      </c>
      <c r="B259" s="1" t="s">
        <v>57</v>
      </c>
      <c r="C259" s="1">
        <v>66.8</v>
      </c>
    </row>
    <row r="260" spans="1:3" x14ac:dyDescent="0.3">
      <c r="A260" s="1" t="s">
        <v>200</v>
      </c>
      <c r="B260" s="1" t="s">
        <v>59</v>
      </c>
      <c r="C260" s="1">
        <v>86.4</v>
      </c>
    </row>
    <row r="261" spans="1:3" x14ac:dyDescent="0.3">
      <c r="A261" s="1" t="s">
        <v>199</v>
      </c>
      <c r="B261" s="1" t="s">
        <v>57</v>
      </c>
      <c r="C261" s="1">
        <v>57.2</v>
      </c>
    </row>
    <row r="262" spans="1:3" x14ac:dyDescent="0.3">
      <c r="A262" s="1" t="s">
        <v>198</v>
      </c>
      <c r="B262" s="1" t="s">
        <v>57</v>
      </c>
      <c r="C262" s="1">
        <v>51.1</v>
      </c>
    </row>
    <row r="263" spans="1:3" x14ac:dyDescent="0.3">
      <c r="A263" s="1" t="s">
        <v>197</v>
      </c>
      <c r="B263" s="1" t="s">
        <v>57</v>
      </c>
      <c r="C263" s="1">
        <v>65.400000000000006</v>
      </c>
    </row>
    <row r="264" spans="1:3" x14ac:dyDescent="0.3">
      <c r="A264" s="1" t="s">
        <v>196</v>
      </c>
      <c r="B264" s="1" t="s">
        <v>57</v>
      </c>
      <c r="C264" s="1">
        <v>81.8</v>
      </c>
    </row>
    <row r="265" spans="1:3" x14ac:dyDescent="0.3">
      <c r="A265" s="1" t="s">
        <v>195</v>
      </c>
      <c r="B265" s="1" t="s">
        <v>57</v>
      </c>
      <c r="C265" s="1">
        <v>77</v>
      </c>
    </row>
    <row r="266" spans="1:3" x14ac:dyDescent="0.3">
      <c r="A266" s="1" t="s">
        <v>194</v>
      </c>
      <c r="B266" s="1" t="s">
        <v>57</v>
      </c>
      <c r="C266" s="1">
        <v>69</v>
      </c>
    </row>
    <row r="267" spans="1:3" x14ac:dyDescent="0.3">
      <c r="A267" s="1" t="s">
        <v>193</v>
      </c>
      <c r="B267" s="1" t="s">
        <v>57</v>
      </c>
      <c r="C267" s="1">
        <v>58.2</v>
      </c>
    </row>
    <row r="268" spans="1:3" x14ac:dyDescent="0.3">
      <c r="A268" s="1" t="s">
        <v>192</v>
      </c>
      <c r="B268" s="1" t="s">
        <v>59</v>
      </c>
      <c r="C268" s="1">
        <v>58.3</v>
      </c>
    </row>
    <row r="269" spans="1:3" x14ac:dyDescent="0.3">
      <c r="A269" s="1" t="s">
        <v>191</v>
      </c>
      <c r="B269" s="1" t="s">
        <v>59</v>
      </c>
      <c r="C269" s="1">
        <v>78.400000000000006</v>
      </c>
    </row>
    <row r="270" spans="1:3" x14ac:dyDescent="0.3">
      <c r="A270" s="1" t="s">
        <v>190</v>
      </c>
      <c r="B270" s="1" t="s">
        <v>59</v>
      </c>
      <c r="C270" s="1">
        <v>76.5</v>
      </c>
    </row>
    <row r="271" spans="1:3" x14ac:dyDescent="0.3">
      <c r="A271" s="1" t="s">
        <v>189</v>
      </c>
      <c r="B271" s="1" t="s">
        <v>57</v>
      </c>
      <c r="C271" s="1">
        <v>58.2</v>
      </c>
    </row>
    <row r="272" spans="1:3" x14ac:dyDescent="0.3">
      <c r="A272" s="1" t="s">
        <v>188</v>
      </c>
      <c r="B272" s="1" t="s">
        <v>57</v>
      </c>
      <c r="C272" s="1">
        <v>93</v>
      </c>
    </row>
    <row r="273" spans="1:3" x14ac:dyDescent="0.3">
      <c r="A273" s="1" t="s">
        <v>187</v>
      </c>
      <c r="B273" s="1" t="s">
        <v>59</v>
      </c>
      <c r="C273" s="1">
        <v>59.2</v>
      </c>
    </row>
    <row r="274" spans="1:3" x14ac:dyDescent="0.3">
      <c r="A274" s="1" t="s">
        <v>186</v>
      </c>
      <c r="B274" s="1" t="s">
        <v>59</v>
      </c>
      <c r="C274" s="1">
        <v>90.2</v>
      </c>
    </row>
    <row r="275" spans="1:3" x14ac:dyDescent="0.3">
      <c r="A275" s="1" t="s">
        <v>185</v>
      </c>
      <c r="B275" s="1" t="s">
        <v>59</v>
      </c>
      <c r="C275" s="1">
        <v>64.900000000000006</v>
      </c>
    </row>
    <row r="276" spans="1:3" x14ac:dyDescent="0.3">
      <c r="A276" s="1" t="s">
        <v>184</v>
      </c>
      <c r="B276" s="1" t="s">
        <v>57</v>
      </c>
      <c r="C276" s="1">
        <v>52.2</v>
      </c>
    </row>
    <row r="277" spans="1:3" x14ac:dyDescent="0.3">
      <c r="A277" s="1" t="s">
        <v>183</v>
      </c>
      <c r="B277" s="1" t="s">
        <v>57</v>
      </c>
      <c r="C277" s="1">
        <v>51.7</v>
      </c>
    </row>
    <row r="278" spans="1:3" x14ac:dyDescent="0.3">
      <c r="A278" s="1" t="s">
        <v>182</v>
      </c>
      <c r="B278" s="1" t="s">
        <v>59</v>
      </c>
      <c r="C278" s="1">
        <v>77.3</v>
      </c>
    </row>
    <row r="279" spans="1:3" x14ac:dyDescent="0.3">
      <c r="A279" s="1" t="s">
        <v>181</v>
      </c>
      <c r="B279" s="1" t="s">
        <v>59</v>
      </c>
      <c r="C279" s="1">
        <v>78.8</v>
      </c>
    </row>
    <row r="280" spans="1:3" x14ac:dyDescent="0.3">
      <c r="A280" s="1" t="s">
        <v>180</v>
      </c>
      <c r="B280" s="1" t="s">
        <v>59</v>
      </c>
      <c r="C280" s="1">
        <v>50.4</v>
      </c>
    </row>
    <row r="281" spans="1:3" x14ac:dyDescent="0.3">
      <c r="A281" s="1" t="s">
        <v>179</v>
      </c>
      <c r="B281" s="1" t="s">
        <v>59</v>
      </c>
      <c r="C281" s="1">
        <v>60.6</v>
      </c>
    </row>
    <row r="282" spans="1:3" x14ac:dyDescent="0.3">
      <c r="A282" s="1" t="s">
        <v>178</v>
      </c>
      <c r="B282" s="1" t="s">
        <v>57</v>
      </c>
      <c r="C282" s="1">
        <v>52.4</v>
      </c>
    </row>
    <row r="283" spans="1:3" x14ac:dyDescent="0.3">
      <c r="A283" s="1" t="s">
        <v>177</v>
      </c>
      <c r="B283" s="1" t="s">
        <v>59</v>
      </c>
      <c r="C283" s="1">
        <v>59.1</v>
      </c>
    </row>
    <row r="284" spans="1:3" x14ac:dyDescent="0.3">
      <c r="A284" s="1" t="s">
        <v>176</v>
      </c>
      <c r="B284" s="1" t="s">
        <v>59</v>
      </c>
      <c r="C284" s="1">
        <v>77.5</v>
      </c>
    </row>
    <row r="285" spans="1:3" x14ac:dyDescent="0.3">
      <c r="A285" s="1" t="s">
        <v>175</v>
      </c>
      <c r="B285" s="1" t="s">
        <v>57</v>
      </c>
      <c r="C285" s="1">
        <v>87.3</v>
      </c>
    </row>
    <row r="286" spans="1:3" x14ac:dyDescent="0.3">
      <c r="A286" s="1" t="s">
        <v>174</v>
      </c>
      <c r="B286" s="1" t="s">
        <v>59</v>
      </c>
      <c r="C286" s="1">
        <v>63.8</v>
      </c>
    </row>
    <row r="287" spans="1:3" x14ac:dyDescent="0.3">
      <c r="A287" s="1" t="s">
        <v>173</v>
      </c>
      <c r="B287" s="1" t="s">
        <v>59</v>
      </c>
      <c r="C287" s="1">
        <v>53.1</v>
      </c>
    </row>
    <row r="288" spans="1:3" x14ac:dyDescent="0.3">
      <c r="A288" s="1" t="s">
        <v>172</v>
      </c>
      <c r="B288" s="1" t="s">
        <v>59</v>
      </c>
      <c r="C288" s="1">
        <v>57.7</v>
      </c>
    </row>
    <row r="289" spans="1:3" x14ac:dyDescent="0.3">
      <c r="A289" s="1" t="s">
        <v>171</v>
      </c>
      <c r="B289" s="1" t="s">
        <v>57</v>
      </c>
      <c r="C289" s="1">
        <v>74.2</v>
      </c>
    </row>
    <row r="290" spans="1:3" x14ac:dyDescent="0.3">
      <c r="A290" s="1" t="s">
        <v>170</v>
      </c>
      <c r="B290" s="1" t="s">
        <v>57</v>
      </c>
      <c r="C290" s="1">
        <v>71.5</v>
      </c>
    </row>
    <row r="291" spans="1:3" x14ac:dyDescent="0.3">
      <c r="A291" s="1" t="s">
        <v>169</v>
      </c>
      <c r="B291" s="1" t="s">
        <v>59</v>
      </c>
      <c r="C291" s="1">
        <v>63</v>
      </c>
    </row>
    <row r="292" spans="1:3" x14ac:dyDescent="0.3">
      <c r="A292" s="1" t="s">
        <v>168</v>
      </c>
      <c r="B292" s="1" t="s">
        <v>57</v>
      </c>
      <c r="C292" s="1">
        <v>68.099999999999994</v>
      </c>
    </row>
    <row r="293" spans="1:3" x14ac:dyDescent="0.3">
      <c r="A293" s="1" t="s">
        <v>167</v>
      </c>
      <c r="B293" s="1" t="s">
        <v>57</v>
      </c>
      <c r="C293" s="1">
        <v>78</v>
      </c>
    </row>
    <row r="294" spans="1:3" x14ac:dyDescent="0.3">
      <c r="A294" s="1" t="s">
        <v>166</v>
      </c>
      <c r="B294" s="1" t="s">
        <v>57</v>
      </c>
      <c r="C294" s="1">
        <v>63</v>
      </c>
    </row>
    <row r="295" spans="1:3" x14ac:dyDescent="0.3">
      <c r="A295" s="1" t="s">
        <v>165</v>
      </c>
      <c r="B295" s="1" t="s">
        <v>59</v>
      </c>
      <c r="C295" s="1">
        <v>75.900000000000006</v>
      </c>
    </row>
    <row r="296" spans="1:3" x14ac:dyDescent="0.3">
      <c r="A296" s="1" t="s">
        <v>164</v>
      </c>
      <c r="B296" s="1" t="s">
        <v>59</v>
      </c>
      <c r="C296" s="1">
        <v>71.099999999999994</v>
      </c>
    </row>
    <row r="297" spans="1:3" x14ac:dyDescent="0.3">
      <c r="A297" s="1" t="s">
        <v>163</v>
      </c>
      <c r="B297" s="1" t="s">
        <v>59</v>
      </c>
      <c r="C297" s="1">
        <v>72.5</v>
      </c>
    </row>
    <row r="298" spans="1:3" x14ac:dyDescent="0.3">
      <c r="A298" s="1" t="s">
        <v>162</v>
      </c>
      <c r="B298" s="1" t="s">
        <v>57</v>
      </c>
      <c r="C298" s="1">
        <v>62.9</v>
      </c>
    </row>
    <row r="299" spans="1:3" x14ac:dyDescent="0.3">
      <c r="A299" s="1" t="s">
        <v>161</v>
      </c>
      <c r="B299" s="1" t="s">
        <v>59</v>
      </c>
      <c r="C299" s="1">
        <v>83.3</v>
      </c>
    </row>
    <row r="300" spans="1:3" x14ac:dyDescent="0.3">
      <c r="A300" s="1" t="s">
        <v>160</v>
      </c>
      <c r="B300" s="1" t="s">
        <v>59</v>
      </c>
      <c r="C300" s="1">
        <v>78.5</v>
      </c>
    </row>
    <row r="301" spans="1:3" x14ac:dyDescent="0.3">
      <c r="A301" s="1" t="s">
        <v>159</v>
      </c>
      <c r="B301" s="1" t="s">
        <v>59</v>
      </c>
      <c r="C301" s="1">
        <v>72</v>
      </c>
    </row>
    <row r="302" spans="1:3" x14ac:dyDescent="0.3">
      <c r="A302" s="1" t="s">
        <v>158</v>
      </c>
      <c r="B302" s="1" t="s">
        <v>59</v>
      </c>
      <c r="C302" s="1">
        <v>72.8</v>
      </c>
    </row>
    <row r="303" spans="1:3" x14ac:dyDescent="0.3">
      <c r="A303" s="1" t="s">
        <v>157</v>
      </c>
      <c r="B303" s="1" t="s">
        <v>57</v>
      </c>
      <c r="C303" s="1">
        <v>47.9</v>
      </c>
    </row>
    <row r="304" spans="1:3" x14ac:dyDescent="0.3">
      <c r="A304" s="1" t="s">
        <v>156</v>
      </c>
      <c r="B304" s="1" t="s">
        <v>59</v>
      </c>
      <c r="C304" s="1">
        <v>86.1</v>
      </c>
    </row>
    <row r="305" spans="1:3" x14ac:dyDescent="0.3">
      <c r="A305" s="1" t="s">
        <v>155</v>
      </c>
      <c r="B305" s="1" t="s">
        <v>57</v>
      </c>
      <c r="C305" s="1">
        <v>76.8</v>
      </c>
    </row>
    <row r="306" spans="1:3" x14ac:dyDescent="0.3">
      <c r="A306" s="1" t="s">
        <v>154</v>
      </c>
      <c r="B306" s="1" t="s">
        <v>57</v>
      </c>
      <c r="C306" s="1">
        <v>76.5</v>
      </c>
    </row>
    <row r="307" spans="1:3" x14ac:dyDescent="0.3">
      <c r="A307" s="1" t="s">
        <v>153</v>
      </c>
      <c r="B307" s="1" t="s">
        <v>57</v>
      </c>
      <c r="C307" s="1">
        <v>74.400000000000006</v>
      </c>
    </row>
    <row r="308" spans="1:3" x14ac:dyDescent="0.3">
      <c r="A308" s="1" t="s">
        <v>152</v>
      </c>
      <c r="B308" s="1" t="s">
        <v>57</v>
      </c>
      <c r="C308" s="1">
        <v>36.799999999999997</v>
      </c>
    </row>
    <row r="309" spans="1:3" x14ac:dyDescent="0.3">
      <c r="A309" s="1" t="s">
        <v>151</v>
      </c>
      <c r="B309" s="1" t="s">
        <v>57</v>
      </c>
      <c r="C309" s="1">
        <v>88.2</v>
      </c>
    </row>
    <row r="310" spans="1:3" x14ac:dyDescent="0.3">
      <c r="A310" s="1" t="s">
        <v>150</v>
      </c>
      <c r="B310" s="1" t="s">
        <v>57</v>
      </c>
      <c r="C310" s="1">
        <v>68.5</v>
      </c>
    </row>
    <row r="311" spans="1:3" x14ac:dyDescent="0.3">
      <c r="A311" s="1" t="s">
        <v>149</v>
      </c>
      <c r="B311" s="1" t="s">
        <v>59</v>
      </c>
      <c r="C311" s="1">
        <v>69.599999999999994</v>
      </c>
    </row>
    <row r="312" spans="1:3" x14ac:dyDescent="0.3">
      <c r="A312" s="1" t="s">
        <v>148</v>
      </c>
      <c r="B312" s="1" t="s">
        <v>57</v>
      </c>
      <c r="C312" s="1">
        <v>75.5</v>
      </c>
    </row>
    <row r="313" spans="1:3" x14ac:dyDescent="0.3">
      <c r="A313" s="1" t="s">
        <v>147</v>
      </c>
      <c r="B313" s="1" t="s">
        <v>57</v>
      </c>
      <c r="C313" s="1">
        <v>74.3</v>
      </c>
    </row>
    <row r="314" spans="1:3" x14ac:dyDescent="0.3">
      <c r="A314" s="1" t="s">
        <v>146</v>
      </c>
      <c r="B314" s="1" t="s">
        <v>57</v>
      </c>
      <c r="C314" s="1">
        <v>68.400000000000006</v>
      </c>
    </row>
    <row r="315" spans="1:3" x14ac:dyDescent="0.3">
      <c r="A315" s="1" t="s">
        <v>145</v>
      </c>
      <c r="B315" s="1" t="s">
        <v>59</v>
      </c>
      <c r="C315" s="1">
        <v>86.3</v>
      </c>
    </row>
    <row r="316" spans="1:3" x14ac:dyDescent="0.3">
      <c r="A316" s="1" t="s">
        <v>144</v>
      </c>
      <c r="B316" s="1" t="s">
        <v>59</v>
      </c>
      <c r="C316" s="1">
        <v>41.5</v>
      </c>
    </row>
    <row r="317" spans="1:3" x14ac:dyDescent="0.3">
      <c r="A317" s="1" t="s">
        <v>143</v>
      </c>
      <c r="B317" s="1" t="s">
        <v>59</v>
      </c>
      <c r="C317" s="1">
        <v>74.900000000000006</v>
      </c>
    </row>
    <row r="318" spans="1:3" x14ac:dyDescent="0.3">
      <c r="A318" s="1" t="s">
        <v>142</v>
      </c>
      <c r="B318" s="1" t="s">
        <v>59</v>
      </c>
      <c r="C318" s="1">
        <v>81.7</v>
      </c>
    </row>
    <row r="319" spans="1:3" x14ac:dyDescent="0.3">
      <c r="A319" s="1" t="s">
        <v>141</v>
      </c>
      <c r="B319" s="1" t="s">
        <v>59</v>
      </c>
      <c r="C319" s="1">
        <v>65</v>
      </c>
    </row>
    <row r="320" spans="1:3" x14ac:dyDescent="0.3">
      <c r="A320" s="1" t="s">
        <v>140</v>
      </c>
      <c r="B320" s="1" t="s">
        <v>59</v>
      </c>
      <c r="C320" s="1">
        <v>63.4</v>
      </c>
    </row>
    <row r="321" spans="1:3" x14ac:dyDescent="0.3">
      <c r="A321" s="1" t="s">
        <v>139</v>
      </c>
      <c r="B321" s="1" t="s">
        <v>59</v>
      </c>
      <c r="C321" s="1">
        <v>91.3</v>
      </c>
    </row>
    <row r="322" spans="1:3" x14ac:dyDescent="0.3">
      <c r="A322" s="1" t="s">
        <v>138</v>
      </c>
      <c r="B322" s="1" t="s">
        <v>59</v>
      </c>
      <c r="C322" s="1">
        <v>64.400000000000006</v>
      </c>
    </row>
    <row r="323" spans="1:3" x14ac:dyDescent="0.3">
      <c r="A323" s="1" t="s">
        <v>137</v>
      </c>
      <c r="B323" s="1" t="s">
        <v>59</v>
      </c>
      <c r="C323" s="1">
        <v>70.400000000000006</v>
      </c>
    </row>
    <row r="324" spans="1:3" x14ac:dyDescent="0.3">
      <c r="A324" s="1" t="s">
        <v>136</v>
      </c>
      <c r="B324" s="1" t="s">
        <v>59</v>
      </c>
      <c r="C324" s="1">
        <v>56.2</v>
      </c>
    </row>
    <row r="325" spans="1:3" x14ac:dyDescent="0.3">
      <c r="A325" s="1" t="s">
        <v>135</v>
      </c>
      <c r="B325" s="1" t="s">
        <v>59</v>
      </c>
      <c r="C325" s="1">
        <v>83.4</v>
      </c>
    </row>
    <row r="326" spans="1:3" x14ac:dyDescent="0.3">
      <c r="A326" s="1" t="s">
        <v>134</v>
      </c>
      <c r="B326" s="1" t="s">
        <v>59</v>
      </c>
      <c r="C326" s="1">
        <v>67.8</v>
      </c>
    </row>
    <row r="327" spans="1:3" x14ac:dyDescent="0.3">
      <c r="A327" s="1" t="s">
        <v>133</v>
      </c>
      <c r="B327" s="1" t="s">
        <v>59</v>
      </c>
      <c r="C327" s="1">
        <v>60.6</v>
      </c>
    </row>
    <row r="328" spans="1:3" x14ac:dyDescent="0.3">
      <c r="A328" s="1" t="s">
        <v>132</v>
      </c>
      <c r="B328" s="1" t="s">
        <v>59</v>
      </c>
      <c r="C328" s="1">
        <v>68.099999999999994</v>
      </c>
    </row>
    <row r="329" spans="1:3" x14ac:dyDescent="0.3">
      <c r="A329" s="1" t="s">
        <v>131</v>
      </c>
      <c r="B329" s="1" t="s">
        <v>59</v>
      </c>
      <c r="C329" s="1">
        <v>83.8</v>
      </c>
    </row>
    <row r="330" spans="1:3" x14ac:dyDescent="0.3">
      <c r="A330" s="1" t="s">
        <v>130</v>
      </c>
      <c r="B330" s="1" t="s">
        <v>59</v>
      </c>
      <c r="C330" s="1">
        <v>100</v>
      </c>
    </row>
    <row r="331" spans="1:3" x14ac:dyDescent="0.3">
      <c r="A331" s="1" t="s">
        <v>129</v>
      </c>
      <c r="B331" s="1" t="s">
        <v>57</v>
      </c>
      <c r="C331" s="1">
        <v>71.400000000000006</v>
      </c>
    </row>
    <row r="332" spans="1:3" x14ac:dyDescent="0.3">
      <c r="A332" s="1" t="s">
        <v>128</v>
      </c>
      <c r="B332" s="1" t="s">
        <v>57</v>
      </c>
      <c r="C332" s="1">
        <v>61.4</v>
      </c>
    </row>
    <row r="333" spans="1:3" x14ac:dyDescent="0.3">
      <c r="A333" s="1" t="s">
        <v>127</v>
      </c>
      <c r="B333" s="1" t="s">
        <v>59</v>
      </c>
      <c r="C333" s="1">
        <v>53.7</v>
      </c>
    </row>
    <row r="334" spans="1:3" x14ac:dyDescent="0.3">
      <c r="A334" s="1" t="s">
        <v>126</v>
      </c>
      <c r="B334" s="1" t="s">
        <v>57</v>
      </c>
      <c r="C334" s="1">
        <v>75.3</v>
      </c>
    </row>
    <row r="335" spans="1:3" x14ac:dyDescent="0.3">
      <c r="A335" s="1" t="s">
        <v>125</v>
      </c>
      <c r="B335" s="1" t="s">
        <v>59</v>
      </c>
      <c r="C335" s="1">
        <v>72.099999999999994</v>
      </c>
    </row>
    <row r="336" spans="1:3" x14ac:dyDescent="0.3">
      <c r="A336" s="1" t="s">
        <v>124</v>
      </c>
      <c r="B336" s="1" t="s">
        <v>59</v>
      </c>
      <c r="C336" s="1">
        <v>100</v>
      </c>
    </row>
    <row r="337" spans="1:3" x14ac:dyDescent="0.3">
      <c r="A337" s="1" t="s">
        <v>123</v>
      </c>
      <c r="B337" s="1" t="s">
        <v>57</v>
      </c>
      <c r="C337" s="1">
        <v>52.4</v>
      </c>
    </row>
    <row r="338" spans="1:3" x14ac:dyDescent="0.3">
      <c r="A338" s="1" t="s">
        <v>122</v>
      </c>
      <c r="B338" s="1" t="s">
        <v>57</v>
      </c>
      <c r="C338" s="1">
        <v>72.8</v>
      </c>
    </row>
    <row r="339" spans="1:3" x14ac:dyDescent="0.3">
      <c r="A339" s="1" t="s">
        <v>121</v>
      </c>
      <c r="B339" s="1" t="s">
        <v>57</v>
      </c>
      <c r="C339" s="1">
        <v>75.5</v>
      </c>
    </row>
    <row r="340" spans="1:3" x14ac:dyDescent="0.3">
      <c r="A340" s="1" t="s">
        <v>120</v>
      </c>
      <c r="B340" s="1" t="s">
        <v>57</v>
      </c>
      <c r="C340" s="1">
        <v>63.2</v>
      </c>
    </row>
    <row r="341" spans="1:3" x14ac:dyDescent="0.3">
      <c r="A341" s="1" t="s">
        <v>119</v>
      </c>
      <c r="B341" s="1" t="s">
        <v>57</v>
      </c>
      <c r="C341" s="1">
        <v>78.2</v>
      </c>
    </row>
    <row r="342" spans="1:3" x14ac:dyDescent="0.3">
      <c r="A342" s="1" t="s">
        <v>118</v>
      </c>
      <c r="B342" s="1" t="s">
        <v>59</v>
      </c>
      <c r="C342" s="1">
        <v>65.599999999999994</v>
      </c>
    </row>
    <row r="343" spans="1:3" x14ac:dyDescent="0.3">
      <c r="A343" s="1" t="s">
        <v>117</v>
      </c>
      <c r="B343" s="1" t="s">
        <v>57</v>
      </c>
      <c r="C343" s="1">
        <v>51.6</v>
      </c>
    </row>
    <row r="344" spans="1:3" x14ac:dyDescent="0.3">
      <c r="A344" s="1" t="s">
        <v>116</v>
      </c>
      <c r="B344" s="1" t="s">
        <v>59</v>
      </c>
      <c r="C344" s="1">
        <v>70.900000000000006</v>
      </c>
    </row>
    <row r="345" spans="1:3" x14ac:dyDescent="0.3">
      <c r="A345" s="1" t="s">
        <v>115</v>
      </c>
      <c r="B345" s="1" t="s">
        <v>57</v>
      </c>
      <c r="C345" s="1">
        <v>53.4</v>
      </c>
    </row>
    <row r="346" spans="1:3" x14ac:dyDescent="0.3">
      <c r="A346" s="1" t="s">
        <v>114</v>
      </c>
      <c r="B346" s="1" t="s">
        <v>59</v>
      </c>
      <c r="C346" s="1">
        <v>92.3</v>
      </c>
    </row>
    <row r="347" spans="1:3" x14ac:dyDescent="0.3">
      <c r="A347" s="1" t="s">
        <v>113</v>
      </c>
      <c r="B347" s="1" t="s">
        <v>57</v>
      </c>
      <c r="C347" s="1">
        <v>72.2</v>
      </c>
    </row>
    <row r="348" spans="1:3" x14ac:dyDescent="0.3">
      <c r="A348" s="1" t="s">
        <v>112</v>
      </c>
      <c r="B348" s="1" t="s">
        <v>59</v>
      </c>
      <c r="C348" s="1">
        <v>84.4</v>
      </c>
    </row>
    <row r="349" spans="1:3" x14ac:dyDescent="0.3">
      <c r="A349" s="1" t="s">
        <v>111</v>
      </c>
      <c r="B349" s="1" t="s">
        <v>59</v>
      </c>
      <c r="C349" s="1">
        <v>82.9</v>
      </c>
    </row>
    <row r="350" spans="1:3" x14ac:dyDescent="0.3">
      <c r="A350" s="1" t="s">
        <v>110</v>
      </c>
      <c r="B350" s="1" t="s">
        <v>59</v>
      </c>
      <c r="C350" s="1">
        <v>68.400000000000006</v>
      </c>
    </row>
    <row r="351" spans="1:3" x14ac:dyDescent="0.3">
      <c r="A351" s="1" t="s">
        <v>109</v>
      </c>
      <c r="B351" s="1" t="s">
        <v>57</v>
      </c>
      <c r="C351" s="1">
        <v>78.400000000000006</v>
      </c>
    </row>
    <row r="352" spans="1:3" x14ac:dyDescent="0.3">
      <c r="A352" s="1" t="s">
        <v>108</v>
      </c>
      <c r="B352" s="1" t="s">
        <v>59</v>
      </c>
      <c r="C352" s="1">
        <v>83.1</v>
      </c>
    </row>
    <row r="353" spans="1:3" x14ac:dyDescent="0.3">
      <c r="A353" s="1" t="s">
        <v>107</v>
      </c>
      <c r="B353" s="1" t="s">
        <v>57</v>
      </c>
      <c r="C353" s="1">
        <v>81.099999999999994</v>
      </c>
    </row>
    <row r="354" spans="1:3" x14ac:dyDescent="0.3">
      <c r="A354" s="1" t="s">
        <v>106</v>
      </c>
      <c r="B354" s="1" t="s">
        <v>59</v>
      </c>
      <c r="C354" s="1">
        <v>61.5</v>
      </c>
    </row>
    <row r="355" spans="1:3" x14ac:dyDescent="0.3">
      <c r="A355" s="1" t="s">
        <v>105</v>
      </c>
      <c r="B355" s="1" t="s">
        <v>57</v>
      </c>
      <c r="C355" s="1">
        <v>70.3</v>
      </c>
    </row>
    <row r="356" spans="1:3" x14ac:dyDescent="0.3">
      <c r="A356" s="1" t="s">
        <v>104</v>
      </c>
      <c r="B356" s="1" t="s">
        <v>59</v>
      </c>
      <c r="C356" s="1">
        <v>71.900000000000006</v>
      </c>
    </row>
    <row r="357" spans="1:3" x14ac:dyDescent="0.3">
      <c r="A357" s="1" t="s">
        <v>103</v>
      </c>
      <c r="B357" s="1" t="s">
        <v>59</v>
      </c>
      <c r="C357" s="1">
        <v>48.9</v>
      </c>
    </row>
    <row r="358" spans="1:3" x14ac:dyDescent="0.3">
      <c r="A358" s="1" t="s">
        <v>102</v>
      </c>
      <c r="B358" s="1" t="s">
        <v>57</v>
      </c>
      <c r="C358" s="1">
        <v>84.5</v>
      </c>
    </row>
    <row r="359" spans="1:3" x14ac:dyDescent="0.3">
      <c r="A359" s="1" t="s">
        <v>101</v>
      </c>
      <c r="B359" s="1" t="s">
        <v>59</v>
      </c>
      <c r="C359" s="1">
        <v>67.5</v>
      </c>
    </row>
    <row r="360" spans="1:3" x14ac:dyDescent="0.3">
      <c r="A360" s="1" t="s">
        <v>100</v>
      </c>
      <c r="B360" s="1" t="s">
        <v>59</v>
      </c>
      <c r="C360" s="1">
        <v>83</v>
      </c>
    </row>
    <row r="361" spans="1:3" x14ac:dyDescent="0.3">
      <c r="A361" s="1" t="s">
        <v>99</v>
      </c>
      <c r="B361" s="1" t="s">
        <v>59</v>
      </c>
      <c r="C361" s="1">
        <v>50.8</v>
      </c>
    </row>
    <row r="362" spans="1:3" x14ac:dyDescent="0.3">
      <c r="A362" s="1" t="s">
        <v>98</v>
      </c>
      <c r="B362" s="1" t="s">
        <v>59</v>
      </c>
      <c r="C362" s="1">
        <v>73.8</v>
      </c>
    </row>
    <row r="363" spans="1:3" x14ac:dyDescent="0.3">
      <c r="A363" s="1" t="s">
        <v>97</v>
      </c>
      <c r="B363" s="1" t="s">
        <v>57</v>
      </c>
      <c r="C363" s="1">
        <v>80.2</v>
      </c>
    </row>
    <row r="364" spans="1:3" x14ac:dyDescent="0.3">
      <c r="A364" s="1" t="s">
        <v>96</v>
      </c>
      <c r="B364" s="1" t="s">
        <v>57</v>
      </c>
      <c r="C364" s="1">
        <v>63.5</v>
      </c>
    </row>
    <row r="365" spans="1:3" x14ac:dyDescent="0.3">
      <c r="A365" s="1" t="s">
        <v>95</v>
      </c>
      <c r="B365" s="1" t="s">
        <v>57</v>
      </c>
      <c r="C365" s="1">
        <v>58.9</v>
      </c>
    </row>
    <row r="366" spans="1:3" x14ac:dyDescent="0.3">
      <c r="A366" s="1" t="s">
        <v>94</v>
      </c>
      <c r="B366" s="1" t="s">
        <v>57</v>
      </c>
      <c r="C366" s="1">
        <v>71.3</v>
      </c>
    </row>
    <row r="367" spans="1:3" x14ac:dyDescent="0.3">
      <c r="A367" s="1" t="s">
        <v>93</v>
      </c>
      <c r="B367" s="1" t="s">
        <v>59</v>
      </c>
      <c r="C367" s="1">
        <v>68.8</v>
      </c>
    </row>
    <row r="368" spans="1:3" x14ac:dyDescent="0.3">
      <c r="A368" s="1" t="s">
        <v>92</v>
      </c>
      <c r="B368" s="1" t="s">
        <v>57</v>
      </c>
      <c r="C368" s="1">
        <v>93.9</v>
      </c>
    </row>
    <row r="369" spans="1:3" x14ac:dyDescent="0.3">
      <c r="A369" s="1" t="s">
        <v>91</v>
      </c>
      <c r="B369" s="1" t="s">
        <v>57</v>
      </c>
      <c r="C369" s="1">
        <v>62.2</v>
      </c>
    </row>
    <row r="370" spans="1:3" x14ac:dyDescent="0.3">
      <c r="A370" s="1" t="s">
        <v>90</v>
      </c>
      <c r="B370" s="1" t="s">
        <v>57</v>
      </c>
      <c r="C370" s="1">
        <v>66.599999999999994</v>
      </c>
    </row>
    <row r="371" spans="1:3" x14ac:dyDescent="0.3">
      <c r="A371" s="1" t="s">
        <v>89</v>
      </c>
      <c r="B371" s="1" t="s">
        <v>57</v>
      </c>
      <c r="C371" s="1">
        <v>63.2</v>
      </c>
    </row>
    <row r="372" spans="1:3" x14ac:dyDescent="0.3">
      <c r="A372" s="1" t="s">
        <v>88</v>
      </c>
      <c r="B372" s="1" t="s">
        <v>59</v>
      </c>
      <c r="C372" s="1">
        <v>64.2</v>
      </c>
    </row>
    <row r="373" spans="1:3" x14ac:dyDescent="0.3">
      <c r="A373" s="1" t="s">
        <v>87</v>
      </c>
      <c r="B373" s="1" t="s">
        <v>59</v>
      </c>
      <c r="C373" s="1">
        <v>61.4</v>
      </c>
    </row>
    <row r="374" spans="1:3" x14ac:dyDescent="0.3">
      <c r="A374" s="1" t="s">
        <v>86</v>
      </c>
      <c r="B374" s="1" t="s">
        <v>59</v>
      </c>
      <c r="C374" s="1">
        <v>62.8</v>
      </c>
    </row>
    <row r="375" spans="1:3" x14ac:dyDescent="0.3">
      <c r="A375" s="1" t="s">
        <v>85</v>
      </c>
      <c r="B375" s="1" t="s">
        <v>57</v>
      </c>
      <c r="C375" s="1">
        <v>70.7</v>
      </c>
    </row>
    <row r="376" spans="1:3" x14ac:dyDescent="0.3">
      <c r="A376" s="1" t="s">
        <v>84</v>
      </c>
      <c r="B376" s="1" t="s">
        <v>59</v>
      </c>
      <c r="C376" s="1">
        <v>54.6</v>
      </c>
    </row>
    <row r="377" spans="1:3" x14ac:dyDescent="0.3">
      <c r="A377" s="1" t="s">
        <v>83</v>
      </c>
      <c r="B377" s="1" t="s">
        <v>57</v>
      </c>
      <c r="C377" s="1">
        <v>60.1</v>
      </c>
    </row>
    <row r="378" spans="1:3" x14ac:dyDescent="0.3">
      <c r="A378" s="1" t="s">
        <v>82</v>
      </c>
      <c r="B378" s="1" t="s">
        <v>59</v>
      </c>
      <c r="C378" s="1">
        <v>84.9</v>
      </c>
    </row>
    <row r="379" spans="1:3" x14ac:dyDescent="0.3">
      <c r="A379" s="1" t="s">
        <v>81</v>
      </c>
      <c r="B379" s="1" t="s">
        <v>57</v>
      </c>
      <c r="C379" s="1">
        <v>72.599999999999994</v>
      </c>
    </row>
    <row r="380" spans="1:3" x14ac:dyDescent="0.3">
      <c r="A380" s="1" t="s">
        <v>80</v>
      </c>
      <c r="B380" s="1" t="s">
        <v>59</v>
      </c>
      <c r="C380" s="1">
        <v>48.8</v>
      </c>
    </row>
    <row r="381" spans="1:3" x14ac:dyDescent="0.3">
      <c r="A381" s="1" t="s">
        <v>79</v>
      </c>
      <c r="B381" s="1" t="s">
        <v>59</v>
      </c>
      <c r="C381" s="1">
        <v>69.599999999999994</v>
      </c>
    </row>
    <row r="382" spans="1:3" x14ac:dyDescent="0.3">
      <c r="A382" s="1" t="s">
        <v>78</v>
      </c>
      <c r="B382" s="1" t="s">
        <v>59</v>
      </c>
      <c r="C382" s="1">
        <v>46.7</v>
      </c>
    </row>
    <row r="383" spans="1:3" x14ac:dyDescent="0.3">
      <c r="A383" s="1" t="s">
        <v>77</v>
      </c>
      <c r="B383" s="1" t="s">
        <v>59</v>
      </c>
      <c r="C383" s="1">
        <v>74</v>
      </c>
    </row>
    <row r="384" spans="1:3" x14ac:dyDescent="0.3">
      <c r="A384" s="1" t="s">
        <v>76</v>
      </c>
      <c r="B384" s="1" t="s">
        <v>57</v>
      </c>
      <c r="C384" s="1">
        <v>84.6</v>
      </c>
    </row>
    <row r="385" spans="1:3" x14ac:dyDescent="0.3">
      <c r="A385" s="1" t="s">
        <v>75</v>
      </c>
      <c r="B385" s="1" t="s">
        <v>57</v>
      </c>
      <c r="C385" s="1">
        <v>50.4</v>
      </c>
    </row>
    <row r="386" spans="1:3" x14ac:dyDescent="0.3">
      <c r="A386" s="1" t="s">
        <v>74</v>
      </c>
      <c r="B386" s="1" t="s">
        <v>57</v>
      </c>
      <c r="C386" s="1">
        <v>48.2</v>
      </c>
    </row>
    <row r="387" spans="1:3" x14ac:dyDescent="0.3">
      <c r="A387" s="1" t="s">
        <v>73</v>
      </c>
      <c r="B387" s="1" t="s">
        <v>59</v>
      </c>
      <c r="C387" s="1">
        <v>64.099999999999994</v>
      </c>
    </row>
    <row r="388" spans="1:3" x14ac:dyDescent="0.3">
      <c r="A388" s="1" t="s">
        <v>72</v>
      </c>
      <c r="B388" s="1" t="s">
        <v>57</v>
      </c>
      <c r="C388" s="1">
        <v>72.7</v>
      </c>
    </row>
    <row r="389" spans="1:3" x14ac:dyDescent="0.3">
      <c r="A389" s="1" t="s">
        <v>71</v>
      </c>
      <c r="B389" s="1" t="s">
        <v>59</v>
      </c>
      <c r="C389" s="1">
        <v>83.9</v>
      </c>
    </row>
    <row r="390" spans="1:3" x14ac:dyDescent="0.3">
      <c r="A390" s="1" t="s">
        <v>70</v>
      </c>
      <c r="B390" s="1" t="s">
        <v>57</v>
      </c>
      <c r="C390" s="1">
        <v>80.400000000000006</v>
      </c>
    </row>
    <row r="391" spans="1:3" x14ac:dyDescent="0.3">
      <c r="A391" s="1" t="s">
        <v>69</v>
      </c>
      <c r="B391" s="1" t="s">
        <v>59</v>
      </c>
      <c r="C391" s="1">
        <v>73.5</v>
      </c>
    </row>
    <row r="392" spans="1:3" x14ac:dyDescent="0.3">
      <c r="A392" s="1" t="s">
        <v>68</v>
      </c>
      <c r="B392" s="1" t="s">
        <v>59</v>
      </c>
      <c r="C392" s="1">
        <v>72.5</v>
      </c>
    </row>
    <row r="393" spans="1:3" x14ac:dyDescent="0.3">
      <c r="A393" s="1" t="s">
        <v>67</v>
      </c>
      <c r="B393" s="1" t="s">
        <v>57</v>
      </c>
      <c r="C393" s="1">
        <v>51.2</v>
      </c>
    </row>
    <row r="394" spans="1:3" x14ac:dyDescent="0.3">
      <c r="A394" s="1" t="s">
        <v>66</v>
      </c>
      <c r="B394" s="1" t="s">
        <v>59</v>
      </c>
      <c r="C394" s="1">
        <v>81.7</v>
      </c>
    </row>
    <row r="395" spans="1:3" x14ac:dyDescent="0.3">
      <c r="A395" s="1" t="s">
        <v>65</v>
      </c>
      <c r="B395" s="1" t="s">
        <v>57</v>
      </c>
      <c r="C395" s="1">
        <v>73.599999999999994</v>
      </c>
    </row>
    <row r="396" spans="1:3" x14ac:dyDescent="0.3">
      <c r="A396" s="1" t="s">
        <v>64</v>
      </c>
      <c r="B396" s="1" t="s">
        <v>57</v>
      </c>
      <c r="C396" s="1">
        <v>52.9</v>
      </c>
    </row>
    <row r="397" spans="1:3" x14ac:dyDescent="0.3">
      <c r="A397" s="1" t="s">
        <v>63</v>
      </c>
      <c r="B397" s="1" t="s">
        <v>57</v>
      </c>
      <c r="C397" s="1">
        <v>65.8</v>
      </c>
    </row>
    <row r="398" spans="1:3" x14ac:dyDescent="0.3">
      <c r="A398" s="1" t="s">
        <v>62</v>
      </c>
      <c r="B398" s="1" t="s">
        <v>57</v>
      </c>
      <c r="C398" s="1">
        <v>74.8</v>
      </c>
    </row>
    <row r="399" spans="1:3" x14ac:dyDescent="0.3">
      <c r="A399" s="1" t="s">
        <v>61</v>
      </c>
      <c r="B399" s="1" t="s">
        <v>59</v>
      </c>
      <c r="C399" s="1">
        <v>70</v>
      </c>
    </row>
    <row r="400" spans="1:3" x14ac:dyDescent="0.3">
      <c r="A400" s="1" t="s">
        <v>60</v>
      </c>
      <c r="B400" s="1" t="s">
        <v>59</v>
      </c>
      <c r="C400" s="1">
        <v>80.099999999999994</v>
      </c>
    </row>
    <row r="401" spans="1:3" x14ac:dyDescent="0.3">
      <c r="A401" s="1" t="s">
        <v>58</v>
      </c>
      <c r="B401" s="1" t="s">
        <v>57</v>
      </c>
      <c r="C401" s="1">
        <v>64.5</v>
      </c>
    </row>
  </sheetData>
  <mergeCells count="29">
    <mergeCell ref="P39:Q39"/>
    <mergeCell ref="P40:Q40"/>
    <mergeCell ref="P27:T28"/>
    <mergeCell ref="P34:Q34"/>
    <mergeCell ref="P35:Q35"/>
    <mergeCell ref="P36:Q36"/>
    <mergeCell ref="P37:Q37"/>
    <mergeCell ref="P38:Q38"/>
    <mergeCell ref="P29:Q29"/>
    <mergeCell ref="P30:Q30"/>
    <mergeCell ref="P31:Q31"/>
    <mergeCell ref="P32:Q32"/>
    <mergeCell ref="P33:Q33"/>
    <mergeCell ref="O16:P16"/>
    <mergeCell ref="R16:S16"/>
    <mergeCell ref="O17:P17"/>
    <mergeCell ref="R17:S17"/>
    <mergeCell ref="O18:P18"/>
    <mergeCell ref="R18:S18"/>
    <mergeCell ref="O12:P12"/>
    <mergeCell ref="R10:S10"/>
    <mergeCell ref="O10:P10"/>
    <mergeCell ref="O15:P15"/>
    <mergeCell ref="R15:S15"/>
    <mergeCell ref="O13:P13"/>
    <mergeCell ref="R12:S12"/>
    <mergeCell ref="R13:S13"/>
    <mergeCell ref="O11:P11"/>
    <mergeCell ref="R11:S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10" zoomScale="85" zoomScaleNormal="85" workbookViewId="0">
      <selection activeCell="R8" sqref="R8"/>
    </sheetView>
  </sheetViews>
  <sheetFormatPr defaultRowHeight="14.4" x14ac:dyDescent="0.3"/>
  <cols>
    <col min="4" max="4" width="19" customWidth="1"/>
    <col min="5" max="5" width="13.5546875" customWidth="1"/>
    <col min="6" max="6" width="11.88671875" customWidth="1"/>
    <col min="7" max="7" width="14" customWidth="1"/>
    <col min="11" max="11" width="18.44140625" customWidth="1"/>
    <col min="12" max="12" width="10.21875" customWidth="1"/>
    <col min="13" max="13" width="13.44140625" customWidth="1"/>
    <col min="14" max="14" width="11.77734375" customWidth="1"/>
    <col min="15" max="15" width="10.88671875" customWidth="1"/>
    <col min="16" max="16" width="12.21875" customWidth="1"/>
    <col min="17" max="17" width="10.77734375" customWidth="1"/>
    <col min="18" max="18" width="11.6640625" customWidth="1"/>
    <col min="19" max="19" width="12.21875" customWidth="1"/>
  </cols>
  <sheetData>
    <row r="1" spans="1:21" x14ac:dyDescent="0.3">
      <c r="A1" s="31" t="s">
        <v>548</v>
      </c>
      <c r="B1" s="31" t="s">
        <v>547</v>
      </c>
      <c r="C1" s="31" t="s">
        <v>546</v>
      </c>
      <c r="D1" s="31" t="s">
        <v>1</v>
      </c>
      <c r="E1" s="31" t="s">
        <v>545</v>
      </c>
      <c r="F1" s="31" t="s">
        <v>544</v>
      </c>
      <c r="G1" s="31" t="s">
        <v>543</v>
      </c>
    </row>
    <row r="2" spans="1:21" x14ac:dyDescent="0.3">
      <c r="A2" s="64" t="s">
        <v>542</v>
      </c>
      <c r="B2" s="64">
        <v>95.5</v>
      </c>
      <c r="C2" s="64">
        <v>685</v>
      </c>
      <c r="D2" s="64">
        <v>26.6</v>
      </c>
      <c r="E2" s="64">
        <v>0.56999999999999995</v>
      </c>
      <c r="F2" s="64">
        <v>29.6</v>
      </c>
      <c r="G2" s="64">
        <v>0</v>
      </c>
    </row>
    <row r="3" spans="1:21" x14ac:dyDescent="0.3">
      <c r="A3" s="64" t="s">
        <v>541</v>
      </c>
      <c r="B3" s="64">
        <v>289</v>
      </c>
      <c r="C3" s="64">
        <v>2020</v>
      </c>
      <c r="D3" s="64">
        <v>20</v>
      </c>
      <c r="E3" s="64">
        <v>1.65</v>
      </c>
      <c r="F3" s="64">
        <v>27.6</v>
      </c>
      <c r="G3" s="64">
        <v>1</v>
      </c>
    </row>
    <row r="4" spans="1:21" x14ac:dyDescent="0.3">
      <c r="A4" s="64" t="s">
        <v>540</v>
      </c>
      <c r="B4" s="64">
        <v>350.2</v>
      </c>
      <c r="C4" s="64">
        <v>2880</v>
      </c>
      <c r="D4" s="64">
        <v>34.200000000000003</v>
      </c>
      <c r="E4" s="64">
        <v>1.88</v>
      </c>
      <c r="F4" s="64">
        <v>26.6</v>
      </c>
      <c r="G4" s="64">
        <v>0</v>
      </c>
    </row>
    <row r="5" spans="1:21" x14ac:dyDescent="0.3">
      <c r="A5" s="64" t="s">
        <v>539</v>
      </c>
      <c r="B5" s="64">
        <v>276</v>
      </c>
      <c r="C5" s="64">
        <v>2102</v>
      </c>
      <c r="D5" s="64">
        <v>36.5</v>
      </c>
      <c r="E5" s="64">
        <v>1.8</v>
      </c>
      <c r="F5" s="64">
        <v>22.2</v>
      </c>
      <c r="G5" s="64">
        <v>0</v>
      </c>
    </row>
    <row r="6" spans="1:21" ht="15" thickBot="1" x14ac:dyDescent="0.35">
      <c r="A6" s="64" t="s">
        <v>538</v>
      </c>
      <c r="B6" s="64">
        <v>355.8</v>
      </c>
      <c r="C6" s="64">
        <v>2735</v>
      </c>
      <c r="D6" s="64">
        <v>20.2</v>
      </c>
      <c r="E6" s="64">
        <v>2.31</v>
      </c>
      <c r="F6" s="64">
        <v>27.7</v>
      </c>
      <c r="G6" s="64">
        <v>1</v>
      </c>
    </row>
    <row r="7" spans="1:21" ht="15.6" thickTop="1" thickBot="1" x14ac:dyDescent="0.35">
      <c r="A7" s="64" t="s">
        <v>537</v>
      </c>
      <c r="B7" s="64">
        <v>149.69999999999999</v>
      </c>
      <c r="C7" s="64">
        <v>500</v>
      </c>
      <c r="D7" s="64">
        <v>27</v>
      </c>
      <c r="E7" s="64">
        <v>0.53</v>
      </c>
      <c r="F7" s="64">
        <v>22.6</v>
      </c>
      <c r="G7" s="64">
        <v>0</v>
      </c>
      <c r="I7" s="4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3"/>
    </row>
    <row r="8" spans="1:21" x14ac:dyDescent="0.3">
      <c r="A8" s="64" t="s">
        <v>536</v>
      </c>
      <c r="B8" s="64">
        <v>294</v>
      </c>
      <c r="C8" s="64">
        <v>2165</v>
      </c>
      <c r="D8" s="64">
        <v>35.1</v>
      </c>
      <c r="E8" s="64">
        <v>1.43</v>
      </c>
      <c r="F8" s="64">
        <v>26.3</v>
      </c>
      <c r="G8" s="64">
        <v>0</v>
      </c>
      <c r="I8" s="39"/>
      <c r="J8" s="4"/>
      <c r="K8" s="4"/>
      <c r="L8" s="67" t="s">
        <v>549</v>
      </c>
      <c r="M8" s="188" t="s">
        <v>550</v>
      </c>
      <c r="N8" s="188"/>
      <c r="O8" s="188" t="s">
        <v>551</v>
      </c>
      <c r="P8" s="189"/>
      <c r="Q8" s="4"/>
      <c r="R8" s="4"/>
      <c r="S8" s="4"/>
      <c r="T8" s="4"/>
      <c r="U8" s="36"/>
    </row>
    <row r="9" spans="1:21" x14ac:dyDescent="0.3">
      <c r="A9" s="64" t="s">
        <v>535</v>
      </c>
      <c r="B9" s="64">
        <v>201.9</v>
      </c>
      <c r="C9" s="64">
        <v>918</v>
      </c>
      <c r="D9" s="64">
        <v>42.3</v>
      </c>
      <c r="E9" s="64">
        <v>0.79</v>
      </c>
      <c r="F9" s="64">
        <v>35.5</v>
      </c>
      <c r="G9" s="64">
        <v>0</v>
      </c>
      <c r="I9" s="39"/>
      <c r="J9" s="4"/>
      <c r="K9" s="4"/>
      <c r="L9" s="65" t="s">
        <v>57</v>
      </c>
      <c r="M9" s="187" t="s">
        <v>547</v>
      </c>
      <c r="N9" s="187"/>
      <c r="O9" s="87" t="s">
        <v>552</v>
      </c>
      <c r="P9" s="182"/>
      <c r="Q9" s="4"/>
      <c r="R9" s="4"/>
      <c r="S9" s="4"/>
      <c r="T9" s="4"/>
      <c r="U9" s="36"/>
    </row>
    <row r="10" spans="1:21" x14ac:dyDescent="0.3">
      <c r="A10" s="64" t="s">
        <v>534</v>
      </c>
      <c r="B10" s="64">
        <v>334.7</v>
      </c>
      <c r="C10" s="64">
        <v>1895</v>
      </c>
      <c r="D10" s="64">
        <v>32.1</v>
      </c>
      <c r="E10" s="64">
        <v>1.78</v>
      </c>
      <c r="F10" s="64">
        <v>16.899999999999999</v>
      </c>
      <c r="G10" s="64">
        <v>1</v>
      </c>
      <c r="I10" s="39"/>
      <c r="J10" s="4"/>
      <c r="K10" s="4"/>
      <c r="L10" s="65" t="s">
        <v>59</v>
      </c>
      <c r="M10" s="187" t="s">
        <v>546</v>
      </c>
      <c r="N10" s="187"/>
      <c r="O10" s="87" t="s">
        <v>553</v>
      </c>
      <c r="P10" s="182"/>
      <c r="Q10" s="4"/>
      <c r="R10" s="4"/>
      <c r="S10" s="4"/>
      <c r="T10" s="4"/>
      <c r="U10" s="36"/>
    </row>
    <row r="11" spans="1:21" x14ac:dyDescent="0.3">
      <c r="A11" s="64" t="s">
        <v>533</v>
      </c>
      <c r="B11" s="64">
        <v>223</v>
      </c>
      <c r="C11" s="64">
        <v>1042</v>
      </c>
      <c r="D11" s="64">
        <v>28.4</v>
      </c>
      <c r="E11" s="64">
        <v>1.34</v>
      </c>
      <c r="F11" s="64">
        <v>34.1</v>
      </c>
      <c r="G11" s="64">
        <v>1</v>
      </c>
      <c r="I11" s="39"/>
      <c r="J11" s="4"/>
      <c r="K11" s="4"/>
      <c r="L11" s="65" t="s">
        <v>554</v>
      </c>
      <c r="M11" s="187" t="s">
        <v>1</v>
      </c>
      <c r="N11" s="187"/>
      <c r="O11" s="87" t="s">
        <v>555</v>
      </c>
      <c r="P11" s="182"/>
      <c r="Q11" s="4"/>
      <c r="R11" s="4"/>
      <c r="S11" s="4"/>
      <c r="T11" s="4"/>
      <c r="U11" s="36"/>
    </row>
    <row r="12" spans="1:21" x14ac:dyDescent="0.3">
      <c r="A12" s="64" t="s">
        <v>532</v>
      </c>
      <c r="B12" s="64">
        <v>288.60000000000002</v>
      </c>
      <c r="C12" s="64">
        <v>2016</v>
      </c>
      <c r="D12" s="64">
        <v>31.1</v>
      </c>
      <c r="E12" s="64">
        <v>1.5</v>
      </c>
      <c r="F12" s="64">
        <v>35.5</v>
      </c>
      <c r="G12" s="64">
        <v>0</v>
      </c>
      <c r="I12" s="39"/>
      <c r="J12" s="4"/>
      <c r="K12" s="4"/>
      <c r="L12" s="65" t="s">
        <v>556</v>
      </c>
      <c r="M12" s="87" t="s">
        <v>545</v>
      </c>
      <c r="N12" s="89"/>
      <c r="O12" s="87" t="s">
        <v>557</v>
      </c>
      <c r="P12" s="182"/>
      <c r="Q12" s="4"/>
      <c r="R12" s="4"/>
      <c r="S12" s="4"/>
      <c r="T12" s="4"/>
      <c r="U12" s="36"/>
    </row>
    <row r="13" spans="1:21" ht="15" thickBot="1" x14ac:dyDescent="0.35">
      <c r="A13" s="64" t="s">
        <v>531</v>
      </c>
      <c r="B13" s="64">
        <v>287.60000000000002</v>
      </c>
      <c r="C13" s="64">
        <v>1505</v>
      </c>
      <c r="D13" s="64">
        <v>38.9</v>
      </c>
      <c r="E13" s="64">
        <v>1.1499999999999999</v>
      </c>
      <c r="F13" s="64">
        <v>24.1</v>
      </c>
      <c r="G13" s="64">
        <v>1</v>
      </c>
      <c r="I13" s="39"/>
      <c r="J13" s="4"/>
      <c r="K13" s="4"/>
      <c r="L13" s="66" t="s">
        <v>558</v>
      </c>
      <c r="M13" s="183" t="s">
        <v>543</v>
      </c>
      <c r="N13" s="185"/>
      <c r="O13" s="183" t="s">
        <v>559</v>
      </c>
      <c r="P13" s="184"/>
      <c r="Q13" s="4"/>
      <c r="R13" s="4"/>
      <c r="S13" s="4"/>
      <c r="T13" s="4"/>
      <c r="U13" s="36"/>
    </row>
    <row r="14" spans="1:21" x14ac:dyDescent="0.3">
      <c r="A14" s="64" t="s">
        <v>530</v>
      </c>
      <c r="B14" s="64">
        <v>185.5</v>
      </c>
      <c r="C14" s="64">
        <v>934</v>
      </c>
      <c r="D14" s="64">
        <v>28.8</v>
      </c>
      <c r="E14" s="64">
        <v>0.46</v>
      </c>
      <c r="F14" s="64">
        <v>10</v>
      </c>
      <c r="G14" s="64">
        <v>0</v>
      </c>
      <c r="I14" s="3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36"/>
    </row>
    <row r="15" spans="1:21" ht="15" thickBot="1" x14ac:dyDescent="0.35">
      <c r="A15" s="64" t="s">
        <v>529</v>
      </c>
      <c r="B15" s="64">
        <v>186.8</v>
      </c>
      <c r="C15" s="64">
        <v>1004</v>
      </c>
      <c r="D15" s="64">
        <v>28</v>
      </c>
      <c r="E15" s="64">
        <v>0.93</v>
      </c>
      <c r="F15" s="64">
        <v>20.100000000000001</v>
      </c>
      <c r="G15" s="64">
        <v>1</v>
      </c>
      <c r="I15" s="3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36"/>
    </row>
    <row r="16" spans="1:21" x14ac:dyDescent="0.3">
      <c r="A16" s="64" t="s">
        <v>528</v>
      </c>
      <c r="B16" s="64">
        <v>500</v>
      </c>
      <c r="C16" s="64">
        <v>4965</v>
      </c>
      <c r="D16" s="64">
        <v>29.6</v>
      </c>
      <c r="E16" s="64">
        <v>3.64</v>
      </c>
      <c r="F16" s="64">
        <v>35.4</v>
      </c>
      <c r="G16" s="64">
        <v>1</v>
      </c>
      <c r="I16" s="39"/>
      <c r="J16" s="71"/>
      <c r="K16" s="70"/>
      <c r="L16" s="70"/>
      <c r="M16" s="70"/>
      <c r="N16" s="70"/>
      <c r="O16" s="70"/>
      <c r="P16" s="70"/>
      <c r="Q16" s="70"/>
      <c r="R16" s="70"/>
      <c r="S16" s="70"/>
      <c r="T16" s="69"/>
      <c r="U16" s="36"/>
    </row>
    <row r="17" spans="1:21" x14ac:dyDescent="0.3">
      <c r="A17" s="64" t="s">
        <v>527</v>
      </c>
      <c r="B17" s="64">
        <v>357.3</v>
      </c>
      <c r="C17" s="64">
        <v>2730</v>
      </c>
      <c r="D17" s="64">
        <v>27.2</v>
      </c>
      <c r="E17" s="64">
        <v>2.52</v>
      </c>
      <c r="F17" s="64">
        <v>24.8</v>
      </c>
      <c r="G17" s="64">
        <v>1</v>
      </c>
      <c r="I17" s="39"/>
      <c r="J17" s="42"/>
      <c r="K17" s="186" t="s">
        <v>578</v>
      </c>
      <c r="L17" s="186"/>
      <c r="M17" s="4"/>
      <c r="N17" s="4"/>
      <c r="O17" s="4"/>
      <c r="P17" s="4"/>
      <c r="Q17" s="4"/>
      <c r="R17" s="4"/>
      <c r="S17" s="4"/>
      <c r="T17" s="40"/>
      <c r="U17" s="36"/>
    </row>
    <row r="18" spans="1:21" x14ac:dyDescent="0.3">
      <c r="A18" s="64" t="s">
        <v>526</v>
      </c>
      <c r="B18" s="64">
        <v>178.9</v>
      </c>
      <c r="C18" s="64">
        <v>500</v>
      </c>
      <c r="D18" s="64">
        <v>32.6</v>
      </c>
      <c r="E18" s="64">
        <v>0.34</v>
      </c>
      <c r="F18" s="64">
        <v>17</v>
      </c>
      <c r="G18" s="64">
        <v>0</v>
      </c>
      <c r="I18" s="39"/>
      <c r="J18" s="42"/>
      <c r="K18" s="4"/>
      <c r="L18" s="4"/>
      <c r="M18" s="4"/>
      <c r="N18" s="4"/>
      <c r="O18" s="4"/>
      <c r="P18" s="4"/>
      <c r="Q18" s="4"/>
      <c r="R18" s="4"/>
      <c r="S18" s="4"/>
      <c r="T18" s="40"/>
      <c r="U18" s="36"/>
    </row>
    <row r="19" spans="1:21" x14ac:dyDescent="0.3">
      <c r="A19" s="64" t="s">
        <v>525</v>
      </c>
      <c r="B19" s="64">
        <v>194.9</v>
      </c>
      <c r="C19" s="64">
        <v>605</v>
      </c>
      <c r="D19" s="64">
        <v>40.1</v>
      </c>
      <c r="E19" s="64">
        <v>0.44</v>
      </c>
      <c r="F19" s="64">
        <v>21</v>
      </c>
      <c r="G19" s="64">
        <v>1</v>
      </c>
      <c r="I19" s="39"/>
      <c r="J19" s="42"/>
      <c r="K19" s="181" t="s">
        <v>577</v>
      </c>
      <c r="L19" s="181"/>
      <c r="M19" s="4"/>
      <c r="N19" s="4"/>
      <c r="O19" s="4"/>
      <c r="P19" s="4"/>
      <c r="Q19" s="4"/>
      <c r="R19" s="4"/>
      <c r="S19" s="4"/>
      <c r="T19" s="40"/>
      <c r="U19" s="36"/>
    </row>
    <row r="20" spans="1:21" x14ac:dyDescent="0.3">
      <c r="A20" s="64" t="s">
        <v>524</v>
      </c>
      <c r="B20" s="64">
        <v>178.8</v>
      </c>
      <c r="C20" s="64">
        <v>694</v>
      </c>
      <c r="D20" s="64">
        <v>33.6</v>
      </c>
      <c r="E20" s="64">
        <v>0.41</v>
      </c>
      <c r="F20" s="64">
        <v>31.7</v>
      </c>
      <c r="G20" s="64">
        <v>1</v>
      </c>
      <c r="I20" s="39"/>
      <c r="J20" s="42"/>
      <c r="K20" s="58" t="s">
        <v>576</v>
      </c>
      <c r="L20" s="58">
        <v>0.97594553506479431</v>
      </c>
      <c r="M20" s="4"/>
      <c r="N20" s="4"/>
      <c r="O20" s="4"/>
      <c r="P20" s="4"/>
      <c r="Q20" s="4"/>
      <c r="R20" s="4"/>
      <c r="S20" s="4"/>
      <c r="T20" s="40"/>
      <c r="U20" s="36"/>
    </row>
    <row r="21" spans="1:21" x14ac:dyDescent="0.3">
      <c r="A21" s="64" t="s">
        <v>523</v>
      </c>
      <c r="B21" s="64">
        <v>243.7</v>
      </c>
      <c r="C21" s="64">
        <v>1628</v>
      </c>
      <c r="D21" s="64">
        <v>30.7</v>
      </c>
      <c r="E21" s="64">
        <v>1.34</v>
      </c>
      <c r="F21" s="64">
        <v>29.4</v>
      </c>
      <c r="G21" s="64">
        <v>0</v>
      </c>
      <c r="I21" s="39"/>
      <c r="J21" s="42"/>
      <c r="K21" s="58" t="s">
        <v>575</v>
      </c>
      <c r="L21" s="58">
        <v>0.95246968741290772</v>
      </c>
      <c r="M21" s="4"/>
      <c r="N21" s="4"/>
      <c r="O21" s="4"/>
      <c r="P21" s="4"/>
      <c r="Q21" s="4"/>
      <c r="R21" s="4"/>
      <c r="S21" s="4"/>
      <c r="T21" s="40"/>
      <c r="U21" s="36"/>
    </row>
    <row r="22" spans="1:21" x14ac:dyDescent="0.3">
      <c r="A22" s="64" t="s">
        <v>522</v>
      </c>
      <c r="B22" s="64">
        <v>317.7</v>
      </c>
      <c r="C22" s="64">
        <v>2121</v>
      </c>
      <c r="D22" s="64">
        <v>30.5</v>
      </c>
      <c r="E22" s="64">
        <v>1.66</v>
      </c>
      <c r="F22" s="64">
        <v>23.1</v>
      </c>
      <c r="G22" s="64">
        <v>1</v>
      </c>
      <c r="I22" s="39"/>
      <c r="J22" s="42"/>
      <c r="K22" s="58" t="s">
        <v>574</v>
      </c>
      <c r="L22" s="58">
        <v>0.94806873254373247</v>
      </c>
      <c r="M22" s="4"/>
      <c r="N22" s="4"/>
      <c r="O22" s="4"/>
      <c r="P22" s="4"/>
      <c r="Q22" s="4"/>
      <c r="R22" s="4"/>
      <c r="S22" s="4"/>
      <c r="T22" s="40"/>
      <c r="U22" s="36"/>
    </row>
    <row r="23" spans="1:21" x14ac:dyDescent="0.3">
      <c r="A23" s="64" t="s">
        <v>521</v>
      </c>
      <c r="B23" s="64">
        <v>155.6</v>
      </c>
      <c r="C23" s="64">
        <v>587</v>
      </c>
      <c r="D23" s="64">
        <v>24.2</v>
      </c>
      <c r="E23" s="64">
        <v>0.49</v>
      </c>
      <c r="F23" s="64">
        <v>22.1</v>
      </c>
      <c r="G23" s="64">
        <v>0</v>
      </c>
      <c r="I23" s="39"/>
      <c r="J23" s="42"/>
      <c r="K23" s="58" t="s">
        <v>49</v>
      </c>
      <c r="L23" s="58">
        <v>18.493193654391252</v>
      </c>
      <c r="M23" s="4"/>
      <c r="N23" s="4"/>
      <c r="O23" s="4"/>
      <c r="P23" s="4"/>
      <c r="Q23" s="4"/>
      <c r="R23" s="4"/>
      <c r="S23" s="4"/>
      <c r="T23" s="40"/>
      <c r="U23" s="36"/>
    </row>
    <row r="24" spans="1:21" x14ac:dyDescent="0.3">
      <c r="A24" s="64" t="s">
        <v>520</v>
      </c>
      <c r="B24" s="64">
        <v>211.2</v>
      </c>
      <c r="C24" s="64">
        <v>926</v>
      </c>
      <c r="D24" s="64">
        <v>36.4</v>
      </c>
      <c r="E24" s="64">
        <v>0.86</v>
      </c>
      <c r="F24" s="64">
        <v>21.9</v>
      </c>
      <c r="G24" s="64">
        <v>1</v>
      </c>
      <c r="I24" s="39"/>
      <c r="J24" s="42"/>
      <c r="K24" s="58" t="s">
        <v>436</v>
      </c>
      <c r="L24" s="58">
        <v>60</v>
      </c>
      <c r="M24" s="4"/>
      <c r="N24" s="4"/>
      <c r="O24" s="4"/>
      <c r="P24" s="4"/>
      <c r="Q24" s="4"/>
      <c r="R24" s="4"/>
      <c r="S24" s="4"/>
      <c r="T24" s="40"/>
      <c r="U24" s="36"/>
    </row>
    <row r="25" spans="1:21" x14ac:dyDescent="0.3">
      <c r="A25" s="64" t="s">
        <v>519</v>
      </c>
      <c r="B25" s="64">
        <v>303.39999999999998</v>
      </c>
      <c r="C25" s="64">
        <v>2139</v>
      </c>
      <c r="D25" s="64">
        <v>31.6</v>
      </c>
      <c r="E25" s="64">
        <v>1.77</v>
      </c>
      <c r="F25" s="64">
        <v>17.600000000000001</v>
      </c>
      <c r="G25" s="64">
        <v>0</v>
      </c>
      <c r="I25" s="39"/>
      <c r="J25" s="42"/>
      <c r="K25" s="4"/>
      <c r="L25" s="4"/>
      <c r="M25" s="4"/>
      <c r="N25" s="4"/>
      <c r="O25" s="4"/>
      <c r="P25" s="4"/>
      <c r="Q25" s="4"/>
      <c r="R25" s="4"/>
      <c r="S25" s="4"/>
      <c r="T25" s="40"/>
      <c r="U25" s="36"/>
    </row>
    <row r="26" spans="1:21" x14ac:dyDescent="0.3">
      <c r="A26" s="64" t="s">
        <v>518</v>
      </c>
      <c r="B26" s="64">
        <v>256.3</v>
      </c>
      <c r="C26" s="64">
        <v>1774</v>
      </c>
      <c r="D26" s="64">
        <v>31.1</v>
      </c>
      <c r="E26" s="64">
        <v>1.36</v>
      </c>
      <c r="F26" s="64">
        <v>37.9</v>
      </c>
      <c r="G26" s="64">
        <v>1</v>
      </c>
      <c r="I26" s="39"/>
      <c r="J26" s="42"/>
      <c r="K26" s="4" t="s">
        <v>573</v>
      </c>
      <c r="L26" s="4"/>
      <c r="M26" s="4"/>
      <c r="N26" s="4"/>
      <c r="O26" s="4"/>
      <c r="P26" s="4"/>
      <c r="Q26" s="4"/>
      <c r="R26" s="4"/>
      <c r="S26" s="4"/>
      <c r="T26" s="40"/>
      <c r="U26" s="36"/>
    </row>
    <row r="27" spans="1:21" x14ac:dyDescent="0.3">
      <c r="A27" s="64" t="s">
        <v>517</v>
      </c>
      <c r="B27" s="64">
        <v>230.5</v>
      </c>
      <c r="C27" s="64">
        <v>1377</v>
      </c>
      <c r="D27" s="64">
        <v>45</v>
      </c>
      <c r="E27" s="64">
        <v>0.93</v>
      </c>
      <c r="F27" s="64">
        <v>22.4</v>
      </c>
      <c r="G27" s="64">
        <v>0</v>
      </c>
      <c r="I27" s="39"/>
      <c r="J27" s="42"/>
      <c r="K27" s="57"/>
      <c r="L27" s="57" t="s">
        <v>430</v>
      </c>
      <c r="M27" s="57" t="s">
        <v>572</v>
      </c>
      <c r="N27" s="57" t="s">
        <v>571</v>
      </c>
      <c r="O27" s="57" t="s">
        <v>570</v>
      </c>
      <c r="P27" s="57" t="s">
        <v>569</v>
      </c>
      <c r="Q27" s="4"/>
      <c r="R27" s="4"/>
      <c r="S27" s="4"/>
      <c r="T27" s="40"/>
      <c r="U27" s="36"/>
    </row>
    <row r="28" spans="1:21" x14ac:dyDescent="0.3">
      <c r="A28" s="64" t="s">
        <v>516</v>
      </c>
      <c r="B28" s="64">
        <v>196.7</v>
      </c>
      <c r="C28" s="64">
        <v>1328</v>
      </c>
      <c r="D28" s="64">
        <v>33.5</v>
      </c>
      <c r="E28" s="64">
        <v>1.01</v>
      </c>
      <c r="F28" s="64">
        <v>34.700000000000003</v>
      </c>
      <c r="G28" s="64">
        <v>0</v>
      </c>
      <c r="I28" s="39"/>
      <c r="J28" s="42"/>
      <c r="K28" s="58" t="s">
        <v>568</v>
      </c>
      <c r="L28" s="58">
        <v>5</v>
      </c>
      <c r="M28" s="58">
        <v>370082.10641023732</v>
      </c>
      <c r="N28" s="58">
        <v>74016.421282047464</v>
      </c>
      <c r="O28" s="58">
        <v>216.42341621908332</v>
      </c>
      <c r="P28" s="58">
        <v>1.9975344175947244E-34</v>
      </c>
      <c r="Q28" s="4"/>
      <c r="R28" s="4"/>
      <c r="S28" s="4"/>
      <c r="T28" s="40"/>
      <c r="U28" s="36"/>
    </row>
    <row r="29" spans="1:21" x14ac:dyDescent="0.3">
      <c r="A29" s="64" t="s">
        <v>515</v>
      </c>
      <c r="B29" s="64">
        <v>166.3</v>
      </c>
      <c r="C29" s="64">
        <v>1068</v>
      </c>
      <c r="D29" s="64">
        <v>28.2</v>
      </c>
      <c r="E29" s="64">
        <v>0.87</v>
      </c>
      <c r="F29" s="64">
        <v>37.200000000000003</v>
      </c>
      <c r="G29" s="64">
        <v>0</v>
      </c>
      <c r="I29" s="39"/>
      <c r="J29" s="42"/>
      <c r="K29" s="58" t="s">
        <v>567</v>
      </c>
      <c r="L29" s="58">
        <v>54</v>
      </c>
      <c r="M29" s="58">
        <v>18467.903423096112</v>
      </c>
      <c r="N29" s="58">
        <v>341.99821153881686</v>
      </c>
      <c r="O29" s="58"/>
      <c r="P29" s="58"/>
      <c r="Q29" s="4"/>
      <c r="R29" s="4"/>
      <c r="S29" s="4"/>
      <c r="T29" s="40"/>
      <c r="U29" s="36"/>
    </row>
    <row r="30" spans="1:21" x14ac:dyDescent="0.3">
      <c r="A30" s="64" t="s">
        <v>514</v>
      </c>
      <c r="B30" s="64">
        <v>161.9</v>
      </c>
      <c r="C30" s="64">
        <v>1022</v>
      </c>
      <c r="D30" s="64">
        <v>29.9</v>
      </c>
      <c r="E30" s="64">
        <v>0.57999999999999996</v>
      </c>
      <c r="F30" s="64">
        <v>33</v>
      </c>
      <c r="G30" s="64">
        <v>0</v>
      </c>
      <c r="I30" s="39"/>
      <c r="J30" s="42"/>
      <c r="K30" s="58" t="s">
        <v>7</v>
      </c>
      <c r="L30" s="58">
        <v>59</v>
      </c>
      <c r="M30" s="58">
        <v>388550.00983333343</v>
      </c>
      <c r="N30" s="58"/>
      <c r="O30" s="58"/>
      <c r="P30" s="58"/>
      <c r="Q30" s="4"/>
      <c r="R30" s="4"/>
      <c r="S30" s="4"/>
      <c r="T30" s="40"/>
      <c r="U30" s="36"/>
    </row>
    <row r="31" spans="1:21" x14ac:dyDescent="0.3">
      <c r="A31" s="64" t="s">
        <v>513</v>
      </c>
      <c r="B31" s="64">
        <v>188.7</v>
      </c>
      <c r="C31" s="64">
        <v>953</v>
      </c>
      <c r="D31" s="64">
        <v>37.700000000000003</v>
      </c>
      <c r="E31" s="64">
        <v>0.97</v>
      </c>
      <c r="F31" s="64">
        <v>21.5</v>
      </c>
      <c r="G31" s="64">
        <v>0</v>
      </c>
      <c r="I31" s="39"/>
      <c r="J31" s="42"/>
      <c r="K31" s="4"/>
      <c r="L31" s="4"/>
      <c r="M31" s="4"/>
      <c r="N31" s="4"/>
      <c r="O31" s="4"/>
      <c r="P31" s="4"/>
      <c r="Q31" s="4"/>
      <c r="R31" s="4"/>
      <c r="S31" s="4"/>
      <c r="T31" s="40"/>
      <c r="U31" s="36"/>
    </row>
    <row r="32" spans="1:21" x14ac:dyDescent="0.3">
      <c r="A32" s="64" t="s">
        <v>512</v>
      </c>
      <c r="B32" s="64">
        <v>187.7</v>
      </c>
      <c r="C32" s="64">
        <v>1262</v>
      </c>
      <c r="D32" s="64">
        <v>32.6</v>
      </c>
      <c r="E32" s="64">
        <v>1.23</v>
      </c>
      <c r="F32" s="64">
        <v>28.2</v>
      </c>
      <c r="G32" s="64">
        <v>0</v>
      </c>
      <c r="I32" s="39"/>
      <c r="J32" s="42"/>
      <c r="K32" s="57"/>
      <c r="L32" s="57" t="s">
        <v>566</v>
      </c>
      <c r="M32" s="57" t="s">
        <v>49</v>
      </c>
      <c r="N32" s="57" t="s">
        <v>428</v>
      </c>
      <c r="O32" s="57" t="s">
        <v>565</v>
      </c>
      <c r="P32" s="57" t="s">
        <v>564</v>
      </c>
      <c r="Q32" s="57" t="s">
        <v>563</v>
      </c>
      <c r="R32" s="57" t="s">
        <v>562</v>
      </c>
      <c r="S32" s="57" t="s">
        <v>561</v>
      </c>
      <c r="T32" s="40"/>
      <c r="U32" s="36"/>
    </row>
    <row r="33" spans="1:21" x14ac:dyDescent="0.3">
      <c r="A33" s="64" t="s">
        <v>511</v>
      </c>
      <c r="B33" s="64">
        <v>276.10000000000002</v>
      </c>
      <c r="C33" s="64">
        <v>2126</v>
      </c>
      <c r="D33" s="64">
        <v>24.8</v>
      </c>
      <c r="E33" s="64">
        <v>1.95</v>
      </c>
      <c r="F33" s="64">
        <v>24.8</v>
      </c>
      <c r="G33" s="64">
        <v>0</v>
      </c>
      <c r="I33" s="39"/>
      <c r="J33" s="42"/>
      <c r="K33" s="58" t="s">
        <v>560</v>
      </c>
      <c r="L33" s="58">
        <v>81.773533953645568</v>
      </c>
      <c r="M33" s="58">
        <v>19.705877593446299</v>
      </c>
      <c r="N33" s="58">
        <v>4.1497027252844338</v>
      </c>
      <c r="O33" s="58">
        <v>1.1877066727345139E-4</v>
      </c>
      <c r="P33" s="58">
        <v>42.265628110975953</v>
      </c>
      <c r="Q33" s="58">
        <v>121.28143979631518</v>
      </c>
      <c r="R33" s="58">
        <v>42.265628110975953</v>
      </c>
      <c r="S33" s="58">
        <v>121.28143979631518</v>
      </c>
      <c r="T33" s="40"/>
      <c r="U33" s="36"/>
    </row>
    <row r="34" spans="1:21" x14ac:dyDescent="0.3">
      <c r="A34" s="64" t="s">
        <v>510</v>
      </c>
      <c r="B34" s="64">
        <v>189.3</v>
      </c>
      <c r="C34" s="64">
        <v>1061</v>
      </c>
      <c r="D34" s="64">
        <v>36.6</v>
      </c>
      <c r="E34" s="64">
        <v>1.1100000000000001</v>
      </c>
      <c r="F34" s="64">
        <v>17.8</v>
      </c>
      <c r="G34" s="64">
        <v>0</v>
      </c>
      <c r="I34" s="39"/>
      <c r="J34" s="42"/>
      <c r="K34" s="58" t="s">
        <v>546</v>
      </c>
      <c r="L34" s="58">
        <v>7.0099749329877267E-2</v>
      </c>
      <c r="M34" s="58">
        <v>1.0440929089972453E-2</v>
      </c>
      <c r="N34" s="58">
        <v>6.7139378809881576</v>
      </c>
      <c r="O34" s="58">
        <v>1.2002054986581443E-8</v>
      </c>
      <c r="P34" s="58">
        <v>4.9166946847951309E-2</v>
      </c>
      <c r="Q34" s="58">
        <v>9.1032551811803225E-2</v>
      </c>
      <c r="R34" s="58">
        <v>4.9166946847951309E-2</v>
      </c>
      <c r="S34" s="58">
        <v>9.1032551811803225E-2</v>
      </c>
      <c r="T34" s="40"/>
      <c r="U34" s="36"/>
    </row>
    <row r="35" spans="1:21" x14ac:dyDescent="0.3">
      <c r="A35" s="64" t="s">
        <v>509</v>
      </c>
      <c r="B35" s="64">
        <v>289.2</v>
      </c>
      <c r="C35" s="64">
        <v>2139</v>
      </c>
      <c r="D35" s="64">
        <v>28.7</v>
      </c>
      <c r="E35" s="64">
        <v>1.45</v>
      </c>
      <c r="F35" s="64">
        <v>27.6</v>
      </c>
      <c r="G35" s="64">
        <v>0</v>
      </c>
      <c r="I35" s="39"/>
      <c r="J35" s="42"/>
      <c r="K35" s="58" t="s">
        <v>1</v>
      </c>
      <c r="L35" s="58">
        <v>1.5603320157995455</v>
      </c>
      <c r="M35" s="58">
        <v>0.46488220907047678</v>
      </c>
      <c r="N35" s="58">
        <v>3.3564029454243904</v>
      </c>
      <c r="O35" s="58">
        <v>1.4516148616375893E-3</v>
      </c>
      <c r="P35" s="58">
        <v>0.62829930338703621</v>
      </c>
      <c r="Q35" s="58">
        <v>2.4923647282120549</v>
      </c>
      <c r="R35" s="58">
        <v>0.62829930338703621</v>
      </c>
      <c r="S35" s="58">
        <v>2.4923647282120549</v>
      </c>
      <c r="T35" s="40"/>
      <c r="U35" s="36"/>
    </row>
    <row r="36" spans="1:21" x14ac:dyDescent="0.3">
      <c r="A36" s="64" t="s">
        <v>508</v>
      </c>
      <c r="B36" s="64">
        <v>221.4</v>
      </c>
      <c r="C36" s="64">
        <v>760</v>
      </c>
      <c r="D36" s="64">
        <v>41.4</v>
      </c>
      <c r="E36" s="64">
        <v>0.44</v>
      </c>
      <c r="F36" s="64">
        <v>15.6</v>
      </c>
      <c r="G36" s="64">
        <v>1</v>
      </c>
      <c r="I36" s="39"/>
      <c r="J36" s="42"/>
      <c r="K36" s="58" t="s">
        <v>545</v>
      </c>
      <c r="L36" s="58">
        <v>19.285874236297868</v>
      </c>
      <c r="M36" s="58">
        <v>12.914749264557909</v>
      </c>
      <c r="N36" s="58">
        <v>1.4933216155596849</v>
      </c>
      <c r="O36" s="58">
        <v>0.1411733414743814</v>
      </c>
      <c r="P36" s="58">
        <v>-6.6066390763562346</v>
      </c>
      <c r="Q36" s="58">
        <v>45.178387548951974</v>
      </c>
      <c r="R36" s="58">
        <v>-6.6066390763562346</v>
      </c>
      <c r="S36" s="58">
        <v>45.178387548951974</v>
      </c>
      <c r="T36" s="40"/>
      <c r="U36" s="36"/>
    </row>
    <row r="37" spans="1:21" x14ac:dyDescent="0.3">
      <c r="A37" s="64" t="s">
        <v>507</v>
      </c>
      <c r="B37" s="64">
        <v>158.5</v>
      </c>
      <c r="C37" s="64">
        <v>950</v>
      </c>
      <c r="D37" s="64">
        <v>37.4</v>
      </c>
      <c r="E37" s="64">
        <v>0.8</v>
      </c>
      <c r="F37" s="64">
        <v>34.5</v>
      </c>
      <c r="G37" s="64">
        <v>0</v>
      </c>
      <c r="I37" s="39"/>
      <c r="J37" s="42"/>
      <c r="K37" s="58" t="s">
        <v>544</v>
      </c>
      <c r="L37" s="58">
        <v>-1.3054343973648079</v>
      </c>
      <c r="M37" s="58">
        <v>0.36643514267797161</v>
      </c>
      <c r="N37" s="58">
        <v>-3.5625251110591272</v>
      </c>
      <c r="O37" s="58">
        <v>7.7677727953421281E-4</v>
      </c>
      <c r="P37" s="58">
        <v>-2.040092625384109</v>
      </c>
      <c r="Q37" s="58">
        <v>-0.57077616934550679</v>
      </c>
      <c r="R37" s="58">
        <v>-2.040092625384109</v>
      </c>
      <c r="S37" s="58">
        <v>-0.57077616934550679</v>
      </c>
      <c r="T37" s="40"/>
      <c r="U37" s="36"/>
    </row>
    <row r="38" spans="1:21" x14ac:dyDescent="0.3">
      <c r="A38" s="64" t="s">
        <v>506</v>
      </c>
      <c r="B38" s="64">
        <v>158.30000000000001</v>
      </c>
      <c r="C38" s="64">
        <v>500</v>
      </c>
      <c r="D38" s="64">
        <v>29.8</v>
      </c>
      <c r="E38" s="64">
        <v>0.31</v>
      </c>
      <c r="F38" s="64">
        <v>21.3</v>
      </c>
      <c r="G38" s="64">
        <v>1</v>
      </c>
      <c r="I38" s="39"/>
      <c r="J38" s="42"/>
      <c r="K38" s="58" t="s">
        <v>543</v>
      </c>
      <c r="L38" s="58">
        <v>26.440475443870451</v>
      </c>
      <c r="M38" s="58">
        <v>4.8977981654638638</v>
      </c>
      <c r="N38" s="58">
        <v>5.3984412077883794</v>
      </c>
      <c r="O38" s="58">
        <v>1.5392822066449784E-6</v>
      </c>
      <c r="P38" s="58">
        <v>16.620981344206484</v>
      </c>
      <c r="Q38" s="58">
        <v>36.259969543534417</v>
      </c>
      <c r="R38" s="58">
        <v>16.620981344206484</v>
      </c>
      <c r="S38" s="58">
        <v>36.259969543534417</v>
      </c>
      <c r="T38" s="40"/>
      <c r="U38" s="36"/>
    </row>
    <row r="39" spans="1:21" ht="15" thickBot="1" x14ac:dyDescent="0.35">
      <c r="A39" s="64" t="s">
        <v>505</v>
      </c>
      <c r="B39" s="64">
        <v>182.5</v>
      </c>
      <c r="C39" s="64">
        <v>672</v>
      </c>
      <c r="D39" s="64">
        <v>38.4</v>
      </c>
      <c r="E39" s="64">
        <v>0.53</v>
      </c>
      <c r="F39" s="64">
        <v>26.6</v>
      </c>
      <c r="G39" s="64">
        <v>1</v>
      </c>
      <c r="I39" s="39"/>
      <c r="J39" s="68"/>
      <c r="K39" s="38"/>
      <c r="L39" s="38"/>
      <c r="M39" s="38"/>
      <c r="N39" s="38"/>
      <c r="O39" s="38"/>
      <c r="P39" s="38"/>
      <c r="Q39" s="38"/>
      <c r="R39" s="38"/>
      <c r="S39" s="38"/>
      <c r="T39" s="37"/>
      <c r="U39" s="36"/>
    </row>
    <row r="40" spans="1:21" ht="15" thickBot="1" x14ac:dyDescent="0.35">
      <c r="A40" s="64" t="s">
        <v>504</v>
      </c>
      <c r="B40" s="64">
        <v>214.1</v>
      </c>
      <c r="C40" s="64">
        <v>1247</v>
      </c>
      <c r="D40" s="64">
        <v>32.299999999999997</v>
      </c>
      <c r="E40" s="64">
        <v>1.34</v>
      </c>
      <c r="F40" s="64">
        <v>27.3</v>
      </c>
      <c r="G40" s="64">
        <v>0</v>
      </c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3"/>
    </row>
    <row r="41" spans="1:21" ht="15" thickTop="1" x14ac:dyDescent="0.3">
      <c r="A41" s="64" t="s">
        <v>503</v>
      </c>
      <c r="B41" s="64">
        <v>500</v>
      </c>
      <c r="C41" s="64">
        <v>4933</v>
      </c>
      <c r="D41" s="64">
        <v>36.299999999999997</v>
      </c>
      <c r="E41" s="64">
        <v>4.1399999999999997</v>
      </c>
      <c r="F41" s="64">
        <v>22.9</v>
      </c>
      <c r="G41" s="64">
        <v>0</v>
      </c>
    </row>
    <row r="42" spans="1:21" x14ac:dyDescent="0.3">
      <c r="A42" s="64" t="s">
        <v>502</v>
      </c>
      <c r="B42" s="64">
        <v>140.80000000000001</v>
      </c>
      <c r="C42" s="64">
        <v>554</v>
      </c>
      <c r="D42" s="64">
        <v>34.4</v>
      </c>
      <c r="E42" s="64">
        <v>0.38</v>
      </c>
      <c r="F42" s="64">
        <v>29.7</v>
      </c>
      <c r="G42" s="64">
        <v>1</v>
      </c>
    </row>
    <row r="43" spans="1:21" x14ac:dyDescent="0.3">
      <c r="A43" s="64" t="s">
        <v>501</v>
      </c>
      <c r="B43" s="64">
        <v>139.80000000000001</v>
      </c>
      <c r="C43" s="64">
        <v>538</v>
      </c>
      <c r="D43" s="64">
        <v>27.8</v>
      </c>
      <c r="E43" s="64">
        <v>0.71</v>
      </c>
      <c r="F43" s="64">
        <v>21.2</v>
      </c>
      <c r="G43" s="64">
        <v>0</v>
      </c>
    </row>
    <row r="44" spans="1:21" x14ac:dyDescent="0.3">
      <c r="A44" s="64" t="s">
        <v>500</v>
      </c>
      <c r="B44" s="64">
        <v>270.8</v>
      </c>
      <c r="C44" s="64">
        <v>2123</v>
      </c>
      <c r="D44" s="64">
        <v>28.8</v>
      </c>
      <c r="E44" s="64">
        <v>1.59</v>
      </c>
      <c r="F44" s="64">
        <v>32</v>
      </c>
      <c r="G44" s="64">
        <v>0</v>
      </c>
    </row>
    <row r="45" spans="1:21" x14ac:dyDescent="0.3">
      <c r="A45" s="64" t="s">
        <v>499</v>
      </c>
      <c r="B45" s="64">
        <v>171.9</v>
      </c>
      <c r="C45" s="64">
        <v>500</v>
      </c>
      <c r="D45" s="64">
        <v>37.1</v>
      </c>
      <c r="E45" s="64">
        <v>0.48</v>
      </c>
      <c r="F45" s="64">
        <v>14.2</v>
      </c>
      <c r="G45" s="64">
        <v>0</v>
      </c>
    </row>
    <row r="46" spans="1:21" x14ac:dyDescent="0.3">
      <c r="A46" s="64" t="s">
        <v>498</v>
      </c>
      <c r="B46" s="64">
        <v>256.10000000000002</v>
      </c>
      <c r="C46" s="64">
        <v>1517</v>
      </c>
      <c r="D46" s="64">
        <v>30.3</v>
      </c>
      <c r="E46" s="64">
        <v>0.95</v>
      </c>
      <c r="F46" s="64">
        <v>26</v>
      </c>
      <c r="G46" s="64">
        <v>1</v>
      </c>
    </row>
    <row r="47" spans="1:21" x14ac:dyDescent="0.3">
      <c r="A47" s="64" t="s">
        <v>497</v>
      </c>
      <c r="B47" s="64">
        <v>240</v>
      </c>
      <c r="C47" s="64">
        <v>1987</v>
      </c>
      <c r="D47" s="64">
        <v>30</v>
      </c>
      <c r="E47" s="64">
        <v>1.36</v>
      </c>
      <c r="F47" s="64">
        <v>40.5</v>
      </c>
      <c r="G47" s="64">
        <v>0</v>
      </c>
    </row>
    <row r="48" spans="1:21" x14ac:dyDescent="0.3">
      <c r="A48" s="64" t="s">
        <v>496</v>
      </c>
      <c r="B48" s="64">
        <v>188.4</v>
      </c>
      <c r="C48" s="64">
        <v>1090</v>
      </c>
      <c r="D48" s="64">
        <v>27.2</v>
      </c>
      <c r="E48" s="64">
        <v>1.07</v>
      </c>
      <c r="F48" s="64">
        <v>17</v>
      </c>
      <c r="G48" s="64">
        <v>0</v>
      </c>
    </row>
    <row r="49" spans="1:7" x14ac:dyDescent="0.3">
      <c r="A49" s="64" t="s">
        <v>495</v>
      </c>
      <c r="B49" s="64">
        <v>190.4</v>
      </c>
      <c r="C49" s="64">
        <v>800</v>
      </c>
      <c r="D49" s="64">
        <v>34.1</v>
      </c>
      <c r="E49" s="64">
        <v>0.47</v>
      </c>
      <c r="F49" s="64">
        <v>19.600000000000001</v>
      </c>
      <c r="G49" s="64">
        <v>1</v>
      </c>
    </row>
    <row r="50" spans="1:7" x14ac:dyDescent="0.3">
      <c r="A50" s="64" t="s">
        <v>494</v>
      </c>
      <c r="B50" s="64">
        <v>220.6</v>
      </c>
      <c r="C50" s="64">
        <v>710</v>
      </c>
      <c r="D50" s="64">
        <v>42.3</v>
      </c>
      <c r="E50" s="64">
        <v>0.65</v>
      </c>
      <c r="F50" s="64">
        <v>29.1</v>
      </c>
      <c r="G50" s="64">
        <v>1</v>
      </c>
    </row>
    <row r="51" spans="1:7" x14ac:dyDescent="0.3">
      <c r="A51" s="64" t="s">
        <v>493</v>
      </c>
      <c r="B51" s="64">
        <v>261.5</v>
      </c>
      <c r="C51" s="64">
        <v>1969</v>
      </c>
      <c r="D51" s="64">
        <v>26.7</v>
      </c>
      <c r="E51" s="64">
        <v>1.53</v>
      </c>
      <c r="F51" s="64">
        <v>26.4</v>
      </c>
      <c r="G51" s="64">
        <v>0</v>
      </c>
    </row>
    <row r="52" spans="1:7" x14ac:dyDescent="0.3">
      <c r="A52" s="64" t="s">
        <v>492</v>
      </c>
      <c r="B52" s="64">
        <v>214.8</v>
      </c>
      <c r="C52" s="64">
        <v>1046</v>
      </c>
      <c r="D52" s="64">
        <v>32.1</v>
      </c>
      <c r="E52" s="64">
        <v>0.95</v>
      </c>
      <c r="F52" s="64">
        <v>27.8</v>
      </c>
      <c r="G52" s="64">
        <v>0</v>
      </c>
    </row>
    <row r="53" spans="1:7" x14ac:dyDescent="0.3">
      <c r="A53" s="64" t="s">
        <v>491</v>
      </c>
      <c r="B53" s="64">
        <v>181.8</v>
      </c>
      <c r="C53" s="64">
        <v>590</v>
      </c>
      <c r="D53" s="64">
        <v>39.1</v>
      </c>
      <c r="E53" s="64">
        <v>0.3</v>
      </c>
      <c r="F53" s="64">
        <v>28.9</v>
      </c>
      <c r="G53" s="64">
        <v>1</v>
      </c>
    </row>
    <row r="54" spans="1:7" x14ac:dyDescent="0.3">
      <c r="A54" s="64" t="s">
        <v>490</v>
      </c>
      <c r="B54" s="64">
        <v>246.7</v>
      </c>
      <c r="C54" s="64">
        <v>1855</v>
      </c>
      <c r="D54" s="64">
        <v>31.6</v>
      </c>
      <c r="E54" s="64">
        <v>1.45</v>
      </c>
      <c r="F54" s="64">
        <v>30.1</v>
      </c>
      <c r="G54" s="64">
        <v>0</v>
      </c>
    </row>
    <row r="55" spans="1:7" x14ac:dyDescent="0.3">
      <c r="A55" s="64" t="s">
        <v>489</v>
      </c>
      <c r="B55" s="64">
        <v>107.1</v>
      </c>
      <c r="C55" s="64">
        <v>500</v>
      </c>
      <c r="D55" s="64">
        <v>34.299999999999997</v>
      </c>
      <c r="E55" s="64">
        <v>0.33</v>
      </c>
      <c r="F55" s="64">
        <v>33.9</v>
      </c>
      <c r="G55" s="64">
        <v>0</v>
      </c>
    </row>
    <row r="56" spans="1:7" x14ac:dyDescent="0.3">
      <c r="A56" s="64" t="s">
        <v>488</v>
      </c>
      <c r="B56" s="64">
        <v>223.1</v>
      </c>
      <c r="C56" s="64">
        <v>1885</v>
      </c>
      <c r="D56" s="64">
        <v>26.7</v>
      </c>
      <c r="E56" s="64">
        <v>1.4</v>
      </c>
      <c r="F56" s="64">
        <v>28.3</v>
      </c>
      <c r="G56" s="64">
        <v>0</v>
      </c>
    </row>
    <row r="57" spans="1:7" x14ac:dyDescent="0.3">
      <c r="A57" s="64" t="s">
        <v>487</v>
      </c>
      <c r="B57" s="64">
        <v>171.1</v>
      </c>
      <c r="C57" s="64">
        <v>759</v>
      </c>
      <c r="D57" s="64">
        <v>34.1</v>
      </c>
      <c r="E57" s="64">
        <v>0.48</v>
      </c>
      <c r="F57" s="64">
        <v>23.1</v>
      </c>
      <c r="G57" s="64">
        <v>1</v>
      </c>
    </row>
    <row r="58" spans="1:7" x14ac:dyDescent="0.3">
      <c r="A58" s="64" t="s">
        <v>486</v>
      </c>
      <c r="B58" s="64">
        <v>386.1</v>
      </c>
      <c r="C58" s="64">
        <v>3136</v>
      </c>
      <c r="D58" s="64">
        <v>31.1</v>
      </c>
      <c r="E58" s="64">
        <v>2.84</v>
      </c>
      <c r="F58" s="64">
        <v>30.4</v>
      </c>
      <c r="G58" s="64">
        <v>0</v>
      </c>
    </row>
    <row r="59" spans="1:7" x14ac:dyDescent="0.3">
      <c r="A59" s="64" t="s">
        <v>485</v>
      </c>
      <c r="B59" s="64">
        <v>187.3</v>
      </c>
      <c r="C59" s="64">
        <v>718</v>
      </c>
      <c r="D59" s="64">
        <v>36.9</v>
      </c>
      <c r="E59" s="64">
        <v>0.67</v>
      </c>
      <c r="F59" s="64">
        <v>40.200000000000003</v>
      </c>
      <c r="G59" s="64">
        <v>1</v>
      </c>
    </row>
    <row r="60" spans="1:7" x14ac:dyDescent="0.3">
      <c r="A60" s="64" t="s">
        <v>484</v>
      </c>
      <c r="B60" s="64">
        <v>163.6</v>
      </c>
      <c r="C60" s="64">
        <v>558</v>
      </c>
      <c r="D60" s="64">
        <v>37.9</v>
      </c>
      <c r="E60" s="64">
        <v>0.62</v>
      </c>
      <c r="F60" s="64">
        <v>23.9</v>
      </c>
      <c r="G60" s="64">
        <v>1</v>
      </c>
    </row>
    <row r="61" spans="1:7" x14ac:dyDescent="0.3">
      <c r="A61" s="64" t="s">
        <v>483</v>
      </c>
      <c r="B61" s="64">
        <v>188.9</v>
      </c>
      <c r="C61" s="64">
        <v>500</v>
      </c>
      <c r="D61" s="64">
        <v>44.9</v>
      </c>
      <c r="E61" s="64">
        <v>0.43</v>
      </c>
      <c r="F61" s="64">
        <v>17.2</v>
      </c>
      <c r="G61" s="64">
        <v>0</v>
      </c>
    </row>
  </sheetData>
  <mergeCells count="14">
    <mergeCell ref="M11:N11"/>
    <mergeCell ref="O11:P11"/>
    <mergeCell ref="M8:N8"/>
    <mergeCell ref="O8:P8"/>
    <mergeCell ref="M9:N9"/>
    <mergeCell ref="O9:P9"/>
    <mergeCell ref="M10:N10"/>
    <mergeCell ref="O10:P10"/>
    <mergeCell ref="K19:L19"/>
    <mergeCell ref="O12:P12"/>
    <mergeCell ref="O13:P13"/>
    <mergeCell ref="M12:N12"/>
    <mergeCell ref="M13:N13"/>
    <mergeCell ref="K17:L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Discriptive</vt:lpstr>
      <vt:lpstr>OneSample</vt:lpstr>
      <vt:lpstr>TwoSample</vt:lpstr>
      <vt:lpstr>Regression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Kumar</dc:creator>
  <cp:lastModifiedBy>Rishabh Kumar</cp:lastModifiedBy>
  <dcterms:created xsi:type="dcterms:W3CDTF">2026-01-21T00:54:16Z</dcterms:created>
  <dcterms:modified xsi:type="dcterms:W3CDTF">2026-02-20T13:41:57Z</dcterms:modified>
</cp:coreProperties>
</file>